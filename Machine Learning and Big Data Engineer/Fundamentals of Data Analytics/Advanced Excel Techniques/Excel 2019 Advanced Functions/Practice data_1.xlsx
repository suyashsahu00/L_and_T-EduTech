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yas\Downloads\CODING(1)\L&amp;T EduTech\Machine Learning and Big Data Engineer\Fundamentals of Data Analytics\Advanced Excel Techniques\Excel 2019 Advanced Functions\"/>
    </mc:Choice>
  </mc:AlternateContent>
  <xr:revisionPtr revIDLastSave="0" documentId="13_ncr:1_{9E1DD288-6C70-418E-BD06-2B216EFD6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  <sheet name="Sheet3" sheetId="3" r:id="rId2"/>
    <sheet name="Sheet2" sheetId="5" r:id="rId3"/>
  </sheets>
  <definedNames>
    <definedName name="_xlnm._FilterDatabase" localSheetId="1" hidden="1">Sheet3!$A$1:$E$100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G7" i="5"/>
  <c r="G8" i="5"/>
  <c r="L3" i="5"/>
  <c r="E8" i="5"/>
  <c r="A5" i="5"/>
  <c r="C6" i="5"/>
</calcChain>
</file>

<file path=xl/sharedStrings.xml><?xml version="1.0" encoding="utf-8"?>
<sst xmlns="http://schemas.openxmlformats.org/spreadsheetml/2006/main" count="512" uniqueCount="140">
  <si>
    <t>Hardcopy</t>
  </si>
  <si>
    <t>Status</t>
  </si>
  <si>
    <t>LC Name</t>
  </si>
  <si>
    <t>State</t>
  </si>
  <si>
    <t xml:space="preserve">Streams  offered </t>
  </si>
  <si>
    <t>No</t>
  </si>
  <si>
    <t>Inactive</t>
  </si>
  <si>
    <t>IIHT</t>
  </si>
  <si>
    <t>Delhi</t>
  </si>
  <si>
    <t>IT</t>
  </si>
  <si>
    <t>JETKING INFOTRAIN LTD.</t>
  </si>
  <si>
    <t>Yes</t>
  </si>
  <si>
    <t>Active</t>
  </si>
  <si>
    <t>JAGAN INSTITUTE OF MGT. STUDIES</t>
  </si>
  <si>
    <t>HOSP</t>
  </si>
  <si>
    <t>JAGANNATH INSTITUTE OF MANAGEMENT SCIENCES</t>
  </si>
  <si>
    <t>INDIAN HOTEL ACADEMY</t>
  </si>
  <si>
    <t>FRAMEBOXX ANIMATION AND VISUAL EFFECTS PVT LTD</t>
  </si>
  <si>
    <t>ED COM ENTERPRISES</t>
  </si>
  <si>
    <t>Haryana</t>
  </si>
  <si>
    <t>ARTS,IT,MGMT</t>
  </si>
  <si>
    <t>VP COMPUTER EDUCATION &amp; TRAINING CENTRE</t>
  </si>
  <si>
    <t>V V TECHNOLOGIES SOCIETY</t>
  </si>
  <si>
    <t>Haryana NCR</t>
  </si>
  <si>
    <t>G.I.C.E. COMPUTER EDUCATION</t>
  </si>
  <si>
    <t>WINDLAS EDUCATION CENTRE</t>
  </si>
  <si>
    <t>VIKAS EDUCATIONAL SOCIETY</t>
  </si>
  <si>
    <t>CITM</t>
  </si>
  <si>
    <t>NEWTECH INFORMATION SERVICES</t>
  </si>
  <si>
    <t>WEBUNIV FARDIABAD</t>
  </si>
  <si>
    <t>IT,MGMT</t>
  </si>
  <si>
    <t>ELL AAR INSTITUTE OF ALLIED HEALTH SCIENCES</t>
  </si>
  <si>
    <t>Allied</t>
  </si>
  <si>
    <t>NEUROSOFT THE SCHOOL OF COMPUTERS</t>
  </si>
  <si>
    <t>Himachal Pradesh</t>
  </si>
  <si>
    <t>NUTECH SYSTEMS</t>
  </si>
  <si>
    <t>MEC COMPUTER EDUCATION</t>
  </si>
  <si>
    <t>HIM HI TECH COLLEGE OF COMPUTER EDUCATION</t>
  </si>
  <si>
    <t>WHIZZ KID COMPUTERS</t>
  </si>
  <si>
    <t>VERTEX INSTITUTE OF IT &amp; MANAGEMENT</t>
  </si>
  <si>
    <t>APEX COMPUTER EDUCATION SOCIETY</t>
  </si>
  <si>
    <t>DEVI AHILYA CENTRE FOR COMPUTER INFORMATION TECHNOLOGY (DACCIT) PVT. LTD</t>
  </si>
  <si>
    <t>Madhya Pradesh</t>
  </si>
  <si>
    <t>VIMT (VIDHYARTHI INSTITUTE OF MANAGEMENT &amp; TECHNOLOGY)</t>
  </si>
  <si>
    <t>EDUCATIONAL SOCIETY OF PROFESSIONALS</t>
  </si>
  <si>
    <t>KCE INSTITUTE OF PROFESSIONALS</t>
  </si>
  <si>
    <t>ADVANCE COUNSELLING OF COMPUTER APPLICATION</t>
  </si>
  <si>
    <t>MANAGEMENT GURUKUL</t>
  </si>
  <si>
    <t>ARTS,MGMT</t>
  </si>
  <si>
    <t>LEADING EDGE INFORMATICS</t>
  </si>
  <si>
    <t>CITY INSTITUTE  OF IT &amp; MANAGEMENT</t>
  </si>
  <si>
    <t>GLOBAL EDUCARE SOLUTIONS PVT LTD</t>
  </si>
  <si>
    <t>Punjab</t>
  </si>
  <si>
    <t>R.K.ENTERPRISES</t>
  </si>
  <si>
    <t>SINESOFT EDUCATION</t>
  </si>
  <si>
    <t>INSTITUTE OF COMPUTER ACCOUNTANTS OF INDIA</t>
  </si>
  <si>
    <t>ACIIT INSTITUTE</t>
  </si>
  <si>
    <t>PINNACLE INSTITUTE OF FASHION TECHNOLOGY</t>
  </si>
  <si>
    <t>ICAII</t>
  </si>
  <si>
    <t>AIMS COMPUTER INSTITUTE</t>
  </si>
  <si>
    <t>I-TECC EDUCATION PVT. LTD.</t>
  </si>
  <si>
    <t>PATHANKOT BUSINESS COLLEGE</t>
  </si>
  <si>
    <t>GEETA SOFTECH COMPUTERS</t>
  </si>
  <si>
    <t>SOPHIYA INSTITUTE</t>
  </si>
  <si>
    <t>SBET INSTITUTE OF MANAGEMENT AND TECHNOL</t>
  </si>
  <si>
    <t>HAYES EDUCATION PVT LTD</t>
  </si>
  <si>
    <t>CALIBRE EDUTECH PVT LTD</t>
  </si>
  <si>
    <t>Rajasthan</t>
  </si>
  <si>
    <t>SETH SUSHIL KUMAR BIHANI S.D INSTITUTE OF MANAGEMENT &amp; INFORMATION TECHNOLOGY</t>
  </si>
  <si>
    <t>SWIFT COLLEGE OF IT &amp; MANAGEMENT</t>
  </si>
  <si>
    <t>INFOWAYS COMPUTER INSTITUTE</t>
  </si>
  <si>
    <t>C TRACK COMPUTERS</t>
  </si>
  <si>
    <t>I.I.C.E COLLEGE</t>
  </si>
  <si>
    <t>M/S EIIT COMPUTER EDUCATION</t>
  </si>
  <si>
    <t>B N (P G) COLLEGE</t>
  </si>
  <si>
    <t>EDEN INSTITUTE OF IT AND MANAGEMENT</t>
  </si>
  <si>
    <t>IMPACT MANAGEMENT ACADEMY &amp; COLLEGE</t>
  </si>
  <si>
    <t>INSTITUTE OF COMPUTER TECHNOLOGY</t>
  </si>
  <si>
    <t>AISHWARYA COLLEGE OF EDUCATION</t>
  </si>
  <si>
    <t>SWIFT COLLEGE OF IT AND MANAGEMENT</t>
  </si>
  <si>
    <t>IMPETUS EDUCORP</t>
  </si>
  <si>
    <t>CALIBRE IT &amp; MANAGEMENT INSTITUTE</t>
  </si>
  <si>
    <t>ABIMT INSTITUTE</t>
  </si>
  <si>
    <t>B.N. INSTITUTIONS</t>
  </si>
  <si>
    <t>ALLIED</t>
  </si>
  <si>
    <t>NIEST ADVANCE INSTITUTE OF MANAGEMENT &amp; TECHNOLOGY</t>
  </si>
  <si>
    <t>Uttar Pradesh NCR</t>
  </si>
  <si>
    <t>RIG INSTITUTE OF HOSPITALITY &amp; MANAGEMENT</t>
  </si>
  <si>
    <t>IT CAMPUS</t>
  </si>
  <si>
    <t>Uttarakhand</t>
  </si>
  <si>
    <t>VEER COMPUTERS</t>
  </si>
  <si>
    <t>CAREER POINT</t>
  </si>
  <si>
    <t>Uttar Pradesh</t>
  </si>
  <si>
    <t>LEARNING POINT</t>
  </si>
  <si>
    <t>INSOFT</t>
  </si>
  <si>
    <t>ADVANCE LEARNING SYSTEMS</t>
  </si>
  <si>
    <t>WEBUNIV NOIDA</t>
  </si>
  <si>
    <t>ARTS,IT,MGMT,JOURN</t>
  </si>
  <si>
    <t>INTERNATIONAL ACADEMY OF INFORMATION TECHNOLOGY (IAIT)</t>
  </si>
  <si>
    <t>AMRAPALI INTERNATIONAL INSTITUTE OF HOTEL MANAGEMENT</t>
  </si>
  <si>
    <t>ICON INSTITUTE</t>
  </si>
  <si>
    <t>TALENT STUDY CIRCLE</t>
  </si>
  <si>
    <t>CAREER PLUS COACHING CENTRE</t>
  </si>
  <si>
    <t>SOCIAL INSTITUTE OF DISTANCE EDUCATION</t>
  </si>
  <si>
    <t>PUNJAB</t>
  </si>
  <si>
    <t>INTERNATIONAL INSTITUTE OF E BUSINESS MA</t>
  </si>
  <si>
    <t>MGMT</t>
  </si>
  <si>
    <t>APC COLLEGE</t>
  </si>
  <si>
    <t>RAJASTHAN</t>
  </si>
  <si>
    <t>WEBUNIV VIVEK VIHAR</t>
  </si>
  <si>
    <t>DELHI</t>
  </si>
  <si>
    <t>IT,MGMT,</t>
  </si>
  <si>
    <t>WEBUNIV PITAMPURA</t>
  </si>
  <si>
    <t>ARTS,IT,MGMT,</t>
  </si>
  <si>
    <t>GURUNANAK INSTITUTE OF INFORMATION AND T</t>
  </si>
  <si>
    <t>INDIRA SCHOOL OF CAREER DEVELOPMENT</t>
  </si>
  <si>
    <t>B S INSTITUTE OF MANAGEMENT AND TECHNOLO</t>
  </si>
  <si>
    <t>INTERNATIONAL ACADEMY OF INFORMATION TECHNOLOGY</t>
  </si>
  <si>
    <t>UTTARAKHAND</t>
  </si>
  <si>
    <t>MAURYA'S INSTITUTE OF FOOD TECHNOLOGY</t>
  </si>
  <si>
    <t>IICM</t>
  </si>
  <si>
    <t>AMRITSAR DISTANCE EDUCATION CAMPUS</t>
  </si>
  <si>
    <t>CANADIAN COMPUTER &amp; MANAGEMENT COLLEGE (CCMC)</t>
  </si>
  <si>
    <t>IICI &amp; TECHNOLOGY INDIAN INSTITUTE OF COMPUTER INFORMATION &amp; TECHNOLOGY</t>
  </si>
  <si>
    <t>WEBUNIV DIGITECH LTD.</t>
  </si>
  <si>
    <t>BEERU DIGITECH (I) PVT LTD</t>
  </si>
  <si>
    <t>M/S NL DIGITECH</t>
  </si>
  <si>
    <t>PRISM DIGITECH</t>
  </si>
  <si>
    <t>Jan</t>
  </si>
  <si>
    <t>Feb</t>
  </si>
  <si>
    <t>Mar</t>
  </si>
  <si>
    <t>Apr</t>
  </si>
  <si>
    <t>May</t>
  </si>
  <si>
    <t>Jun</t>
  </si>
  <si>
    <t>Rate</t>
  </si>
  <si>
    <t>Nper</t>
  </si>
  <si>
    <t>Pv</t>
  </si>
  <si>
    <t>Fv</t>
  </si>
  <si>
    <t>Type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</si>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</sst>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B804-8CE0-4E4F-B457-10BE9CC8D0FC}">
  <dimension ref="B2:C8"/>
  <sheetViews>
    <sheetView tabSelected="1" zoomScale="190" zoomScaleNormal="190" workbookViewId="0">
      <selection activeCell="C6" sqref="C6"/>
    </sheetView>
  </sheetViews>
  <sheetFormatPr defaultRowHeight="14.4" x14ac:dyDescent="0.3"/>
  <sheetData>
    <row r="2" spans="2:3" x14ac:dyDescent="0.3">
      <c r="B2" s="2" t="s">
        <v>134</v>
      </c>
      <c r="C2" s="3">
        <v>0.05</v>
      </c>
    </row>
    <row r="3" spans="2:3" x14ac:dyDescent="0.3">
      <c r="B3" s="2" t="s">
        <v>135</v>
      </c>
      <c r="C3" s="1">
        <v>120</v>
      </c>
    </row>
    <row r="4" spans="2:3" x14ac:dyDescent="0.3">
      <c r="B4" s="2" t="s">
        <v>136</v>
      </c>
      <c r="C4" s="1">
        <v>5000</v>
      </c>
    </row>
    <row r="5" spans="2:3" x14ac:dyDescent="0.3">
      <c r="B5" s="2" t="s">
        <v>137</v>
      </c>
      <c r="C5" s="1">
        <v>-1000</v>
      </c>
    </row>
    <row r="6" spans="2:3" x14ac:dyDescent="0.3">
      <c r="B6" s="2" t="s">
        <v>138</v>
      </c>
      <c r="C6" s="1">
        <v>1</v>
      </c>
    </row>
    <row r="7" spans="2:3" x14ac:dyDescent="0.3">
      <c r="B7" s="2"/>
      <c r="C7" s="1"/>
    </row>
    <row r="8" spans="2:3" x14ac:dyDescent="0.3">
      <c r="B8" s="2" t="s">
        <v>139</v>
      </c>
      <c r="C8" s="4">
        <f>PMT(C2/12,C3,C4,C5,C6)</f>
        <v>-46.399541340046568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100"/>
  <sheetViews>
    <sheetView topLeftCell="A88" workbookViewId="0">
      <selection activeCell="C8" sqref="C8"/>
    </sheetView>
  </sheetViews>
  <sheetFormatPr defaultRowHeight="14.4" x14ac:dyDescent="0.3"/>
  <cols>
    <col min="1" max="1" width="9.33203125" bestFit="1" customWidth="1"/>
    <col min="2" max="2" width="8" bestFit="1" customWidth="1"/>
    <col min="3" max="3" width="51" customWidth="1"/>
    <col min="4" max="4" width="11" customWidth="1"/>
    <col min="5" max="5" width="1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120</v>
      </c>
      <c r="D3" t="s">
        <v>110</v>
      </c>
      <c r="E3" t="s">
        <v>113</v>
      </c>
    </row>
    <row r="4" spans="1:5" x14ac:dyDescent="0.3">
      <c r="A4" t="s">
        <v>5</v>
      </c>
      <c r="B4" t="s">
        <v>6</v>
      </c>
      <c r="C4" t="s">
        <v>120</v>
      </c>
      <c r="D4" t="s">
        <v>110</v>
      </c>
      <c r="E4" t="s">
        <v>113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11</v>
      </c>
      <c r="B6" t="s">
        <v>12</v>
      </c>
      <c r="C6" t="s">
        <v>16</v>
      </c>
      <c r="D6" t="s">
        <v>8</v>
      </c>
      <c r="E6" t="s">
        <v>14</v>
      </c>
    </row>
    <row r="7" spans="1:5" x14ac:dyDescent="0.3">
      <c r="A7" t="s">
        <v>11</v>
      </c>
      <c r="B7" t="s">
        <v>12</v>
      </c>
      <c r="C7" t="s">
        <v>13</v>
      </c>
      <c r="D7" t="s">
        <v>8</v>
      </c>
      <c r="E7" t="s">
        <v>14</v>
      </c>
    </row>
    <row r="8" spans="1:5" x14ac:dyDescent="0.3">
      <c r="A8" t="s">
        <v>11</v>
      </c>
      <c r="B8" t="s">
        <v>12</v>
      </c>
      <c r="C8" t="s">
        <v>15</v>
      </c>
      <c r="D8" t="s">
        <v>8</v>
      </c>
      <c r="E8" t="s">
        <v>14</v>
      </c>
    </row>
    <row r="9" spans="1:5" x14ac:dyDescent="0.3">
      <c r="A9" t="s">
        <v>5</v>
      </c>
      <c r="B9" t="s">
        <v>6</v>
      </c>
      <c r="C9" t="s">
        <v>10</v>
      </c>
      <c r="D9" t="s">
        <v>8</v>
      </c>
      <c r="E9" t="s">
        <v>9</v>
      </c>
    </row>
    <row r="10" spans="1:5" x14ac:dyDescent="0.3">
      <c r="A10" t="s">
        <v>11</v>
      </c>
      <c r="B10" t="s">
        <v>12</v>
      </c>
      <c r="C10" t="s">
        <v>124</v>
      </c>
      <c r="D10" t="s">
        <v>110</v>
      </c>
      <c r="E10" t="s">
        <v>113</v>
      </c>
    </row>
    <row r="11" spans="1:5" x14ac:dyDescent="0.3">
      <c r="A11" t="s">
        <v>11</v>
      </c>
      <c r="B11" t="s">
        <v>12</v>
      </c>
      <c r="C11" t="s">
        <v>112</v>
      </c>
      <c r="D11" t="s">
        <v>110</v>
      </c>
      <c r="E11" t="s">
        <v>111</v>
      </c>
    </row>
    <row r="12" spans="1:5" x14ac:dyDescent="0.3">
      <c r="A12" t="s">
        <v>11</v>
      </c>
      <c r="B12" t="s">
        <v>12</v>
      </c>
      <c r="C12" t="s">
        <v>109</v>
      </c>
      <c r="D12" t="s">
        <v>8</v>
      </c>
      <c r="E12" t="s">
        <v>111</v>
      </c>
    </row>
    <row r="13" spans="1:5" x14ac:dyDescent="0.3">
      <c r="A13" t="s">
        <v>11</v>
      </c>
      <c r="B13" t="s">
        <v>12</v>
      </c>
      <c r="C13" t="s">
        <v>27</v>
      </c>
      <c r="D13" t="s">
        <v>19</v>
      </c>
      <c r="E13" t="s">
        <v>20</v>
      </c>
    </row>
    <row r="14" spans="1:5" x14ac:dyDescent="0.3">
      <c r="A14" t="s">
        <v>11</v>
      </c>
      <c r="B14" t="s">
        <v>12</v>
      </c>
      <c r="C14" t="s">
        <v>18</v>
      </c>
      <c r="D14" t="s">
        <v>19</v>
      </c>
      <c r="E14" t="s">
        <v>20</v>
      </c>
    </row>
    <row r="15" spans="1:5" x14ac:dyDescent="0.3">
      <c r="A15" t="s">
        <v>5</v>
      </c>
      <c r="B15" t="s">
        <v>6</v>
      </c>
      <c r="C15" t="s">
        <v>31</v>
      </c>
      <c r="D15" t="s">
        <v>19</v>
      </c>
      <c r="E15" t="s">
        <v>32</v>
      </c>
    </row>
    <row r="16" spans="1:5" x14ac:dyDescent="0.3">
      <c r="A16" t="s">
        <v>11</v>
      </c>
      <c r="B16" t="s">
        <v>12</v>
      </c>
      <c r="C16" t="s">
        <v>24</v>
      </c>
      <c r="D16" t="s">
        <v>19</v>
      </c>
      <c r="E16" t="s">
        <v>20</v>
      </c>
    </row>
    <row r="17" spans="1:5" x14ac:dyDescent="0.3">
      <c r="A17" t="s">
        <v>11</v>
      </c>
      <c r="B17" t="s">
        <v>12</v>
      </c>
      <c r="C17" t="s">
        <v>28</v>
      </c>
      <c r="D17" t="s">
        <v>19</v>
      </c>
      <c r="E17" t="s">
        <v>20</v>
      </c>
    </row>
    <row r="18" spans="1:5" x14ac:dyDescent="0.3">
      <c r="A18" t="s">
        <v>11</v>
      </c>
      <c r="B18" t="s">
        <v>12</v>
      </c>
      <c r="C18" t="s">
        <v>26</v>
      </c>
      <c r="D18" t="s">
        <v>19</v>
      </c>
      <c r="E18" t="s">
        <v>20</v>
      </c>
    </row>
    <row r="19" spans="1:5" x14ac:dyDescent="0.3">
      <c r="A19" t="s">
        <v>11</v>
      </c>
      <c r="B19" t="s">
        <v>12</v>
      </c>
      <c r="C19" t="s">
        <v>21</v>
      </c>
      <c r="D19" t="s">
        <v>19</v>
      </c>
      <c r="E19" t="s">
        <v>20</v>
      </c>
    </row>
    <row r="20" spans="1:5" x14ac:dyDescent="0.3">
      <c r="A20" t="s">
        <v>11</v>
      </c>
      <c r="B20" t="s">
        <v>12</v>
      </c>
      <c r="C20" t="s">
        <v>29</v>
      </c>
      <c r="D20" t="s">
        <v>19</v>
      </c>
      <c r="E20" t="s">
        <v>30</v>
      </c>
    </row>
    <row r="21" spans="1:5" x14ac:dyDescent="0.3">
      <c r="A21" t="s">
        <v>11</v>
      </c>
      <c r="B21" t="s">
        <v>12</v>
      </c>
      <c r="C21" t="s">
        <v>25</v>
      </c>
      <c r="D21" t="s">
        <v>19</v>
      </c>
      <c r="E21" t="s">
        <v>20</v>
      </c>
    </row>
    <row r="22" spans="1:5" x14ac:dyDescent="0.3">
      <c r="A22" t="s">
        <v>11</v>
      </c>
      <c r="B22" t="s">
        <v>12</v>
      </c>
      <c r="C22" t="s">
        <v>125</v>
      </c>
      <c r="D22" t="s">
        <v>23</v>
      </c>
      <c r="E22" t="s">
        <v>20</v>
      </c>
    </row>
    <row r="23" spans="1:5" x14ac:dyDescent="0.3">
      <c r="A23" t="s">
        <v>11</v>
      </c>
      <c r="B23" t="s">
        <v>12</v>
      </c>
      <c r="C23" t="s">
        <v>22</v>
      </c>
      <c r="D23" t="s">
        <v>23</v>
      </c>
      <c r="E23" t="s">
        <v>20</v>
      </c>
    </row>
    <row r="24" spans="1:5" x14ac:dyDescent="0.3">
      <c r="A24" t="s">
        <v>11</v>
      </c>
      <c r="B24" t="s">
        <v>12</v>
      </c>
      <c r="C24" t="s">
        <v>40</v>
      </c>
      <c r="D24" t="s">
        <v>34</v>
      </c>
      <c r="E24" t="s">
        <v>30</v>
      </c>
    </row>
    <row r="25" spans="1:5" x14ac:dyDescent="0.3">
      <c r="A25" t="s">
        <v>11</v>
      </c>
      <c r="B25" t="s">
        <v>12</v>
      </c>
      <c r="C25" t="s">
        <v>37</v>
      </c>
      <c r="D25" t="s">
        <v>34</v>
      </c>
      <c r="E25" t="s">
        <v>30</v>
      </c>
    </row>
    <row r="26" spans="1:5" x14ac:dyDescent="0.3">
      <c r="A26" t="s">
        <v>11</v>
      </c>
      <c r="B26" t="s">
        <v>12</v>
      </c>
      <c r="C26" t="s">
        <v>126</v>
      </c>
      <c r="D26" t="s">
        <v>34</v>
      </c>
      <c r="E26" t="s">
        <v>30</v>
      </c>
    </row>
    <row r="27" spans="1:5" x14ac:dyDescent="0.3">
      <c r="A27" t="s">
        <v>11</v>
      </c>
      <c r="B27" t="s">
        <v>12</v>
      </c>
      <c r="C27" t="s">
        <v>36</v>
      </c>
      <c r="D27" t="s">
        <v>34</v>
      </c>
      <c r="E27" t="s">
        <v>30</v>
      </c>
    </row>
    <row r="28" spans="1:5" x14ac:dyDescent="0.3">
      <c r="A28" t="s">
        <v>11</v>
      </c>
      <c r="B28" t="s">
        <v>12</v>
      </c>
      <c r="C28" t="s">
        <v>33</v>
      </c>
      <c r="D28" t="s">
        <v>34</v>
      </c>
      <c r="E28" t="s">
        <v>20</v>
      </c>
    </row>
    <row r="29" spans="1:5" x14ac:dyDescent="0.3">
      <c r="A29" t="s">
        <v>11</v>
      </c>
      <c r="B29" t="s">
        <v>12</v>
      </c>
      <c r="C29" t="s">
        <v>35</v>
      </c>
      <c r="D29" t="s">
        <v>34</v>
      </c>
      <c r="E29" t="s">
        <v>30</v>
      </c>
    </row>
    <row r="30" spans="1:5" x14ac:dyDescent="0.3">
      <c r="A30" t="s">
        <v>11</v>
      </c>
      <c r="B30" t="s">
        <v>12</v>
      </c>
      <c r="C30" t="s">
        <v>39</v>
      </c>
      <c r="D30" t="s">
        <v>34</v>
      </c>
      <c r="E30" t="s">
        <v>20</v>
      </c>
    </row>
    <row r="31" spans="1:5" x14ac:dyDescent="0.3">
      <c r="A31" t="s">
        <v>11</v>
      </c>
      <c r="B31" t="s">
        <v>12</v>
      </c>
      <c r="C31" t="s">
        <v>38</v>
      </c>
      <c r="D31" t="s">
        <v>34</v>
      </c>
      <c r="E31" t="s">
        <v>20</v>
      </c>
    </row>
    <row r="32" spans="1:5" x14ac:dyDescent="0.3">
      <c r="A32" t="s">
        <v>11</v>
      </c>
      <c r="B32" t="s">
        <v>12</v>
      </c>
      <c r="C32" t="s">
        <v>46</v>
      </c>
      <c r="D32" t="s">
        <v>42</v>
      </c>
      <c r="E32" t="s">
        <v>20</v>
      </c>
    </row>
    <row r="33" spans="1:5" x14ac:dyDescent="0.3">
      <c r="A33" t="s">
        <v>11</v>
      </c>
      <c r="B33" t="s">
        <v>12</v>
      </c>
      <c r="C33" t="s">
        <v>50</v>
      </c>
      <c r="D33" t="s">
        <v>42</v>
      </c>
      <c r="E33" t="s">
        <v>20</v>
      </c>
    </row>
    <row r="34" spans="1:5" x14ac:dyDescent="0.3">
      <c r="A34" t="s">
        <v>11</v>
      </c>
      <c r="B34" t="s">
        <v>12</v>
      </c>
      <c r="C34" t="s">
        <v>41</v>
      </c>
      <c r="D34" t="s">
        <v>42</v>
      </c>
      <c r="E34" t="s">
        <v>20</v>
      </c>
    </row>
    <row r="35" spans="1:5" x14ac:dyDescent="0.3">
      <c r="A35" t="s">
        <v>11</v>
      </c>
      <c r="B35" t="s">
        <v>12</v>
      </c>
      <c r="C35" t="s">
        <v>44</v>
      </c>
      <c r="D35" t="s">
        <v>42</v>
      </c>
      <c r="E35" t="s">
        <v>20</v>
      </c>
    </row>
    <row r="36" spans="1:5" x14ac:dyDescent="0.3">
      <c r="A36" t="s">
        <v>5</v>
      </c>
      <c r="B36" t="s">
        <v>6</v>
      </c>
      <c r="C36" t="s">
        <v>115</v>
      </c>
      <c r="D36" t="s">
        <v>42</v>
      </c>
      <c r="E36" t="s">
        <v>106</v>
      </c>
    </row>
    <row r="37" spans="1:5" x14ac:dyDescent="0.3">
      <c r="A37" t="s">
        <v>11</v>
      </c>
      <c r="B37" t="s">
        <v>12</v>
      </c>
      <c r="C37" t="s">
        <v>45</v>
      </c>
      <c r="D37" t="s">
        <v>42</v>
      </c>
      <c r="E37" t="s">
        <v>20</v>
      </c>
    </row>
    <row r="38" spans="1:5" x14ac:dyDescent="0.3">
      <c r="A38" t="s">
        <v>11</v>
      </c>
      <c r="B38" t="s">
        <v>12</v>
      </c>
      <c r="C38" t="s">
        <v>49</v>
      </c>
      <c r="D38" t="s">
        <v>42</v>
      </c>
      <c r="E38" t="s">
        <v>20</v>
      </c>
    </row>
    <row r="39" spans="1:5" x14ac:dyDescent="0.3">
      <c r="A39" t="s">
        <v>5</v>
      </c>
      <c r="B39" t="s">
        <v>6</v>
      </c>
      <c r="C39" t="s">
        <v>47</v>
      </c>
      <c r="D39" t="s">
        <v>42</v>
      </c>
      <c r="E39" t="s">
        <v>48</v>
      </c>
    </row>
    <row r="40" spans="1:5" x14ac:dyDescent="0.3">
      <c r="A40" t="s">
        <v>11</v>
      </c>
      <c r="B40" t="s">
        <v>12</v>
      </c>
      <c r="C40" t="s">
        <v>43</v>
      </c>
      <c r="D40" t="s">
        <v>42</v>
      </c>
      <c r="E40" t="s">
        <v>30</v>
      </c>
    </row>
    <row r="41" spans="1:5" x14ac:dyDescent="0.3">
      <c r="A41" t="s">
        <v>11</v>
      </c>
      <c r="B41" t="s">
        <v>12</v>
      </c>
      <c r="C41" t="s">
        <v>56</v>
      </c>
      <c r="D41" t="s">
        <v>52</v>
      </c>
      <c r="E41" t="s">
        <v>20</v>
      </c>
    </row>
    <row r="42" spans="1:5" x14ac:dyDescent="0.3">
      <c r="A42" t="s">
        <v>11</v>
      </c>
      <c r="B42" t="s">
        <v>12</v>
      </c>
      <c r="C42" t="s">
        <v>56</v>
      </c>
      <c r="D42" t="s">
        <v>52</v>
      </c>
      <c r="E42" t="s">
        <v>30</v>
      </c>
    </row>
    <row r="43" spans="1:5" x14ac:dyDescent="0.3">
      <c r="A43" t="s">
        <v>11</v>
      </c>
      <c r="B43" t="s">
        <v>12</v>
      </c>
      <c r="C43" t="s">
        <v>59</v>
      </c>
      <c r="D43" t="s">
        <v>52</v>
      </c>
      <c r="E43" t="s">
        <v>20</v>
      </c>
    </row>
    <row r="44" spans="1:5" x14ac:dyDescent="0.3">
      <c r="A44" t="s">
        <v>11</v>
      </c>
      <c r="B44" t="s">
        <v>12</v>
      </c>
      <c r="C44" t="s">
        <v>121</v>
      </c>
      <c r="D44" t="s">
        <v>104</v>
      </c>
      <c r="E44" t="s">
        <v>30</v>
      </c>
    </row>
    <row r="45" spans="1:5" x14ac:dyDescent="0.3">
      <c r="A45" t="s">
        <v>11</v>
      </c>
      <c r="B45" t="s">
        <v>12</v>
      </c>
      <c r="C45" t="s">
        <v>62</v>
      </c>
      <c r="D45" t="s">
        <v>52</v>
      </c>
      <c r="E45" t="s">
        <v>20</v>
      </c>
    </row>
    <row r="46" spans="1:5" x14ac:dyDescent="0.3">
      <c r="A46" t="s">
        <v>11</v>
      </c>
      <c r="B46" t="s">
        <v>12</v>
      </c>
      <c r="C46" t="s">
        <v>51</v>
      </c>
      <c r="D46" t="s">
        <v>52</v>
      </c>
      <c r="E46" t="s">
        <v>20</v>
      </c>
    </row>
    <row r="47" spans="1:5" x14ac:dyDescent="0.3">
      <c r="A47" t="s">
        <v>5</v>
      </c>
      <c r="B47" t="s">
        <v>6</v>
      </c>
      <c r="C47" t="s">
        <v>114</v>
      </c>
      <c r="D47" t="s">
        <v>104</v>
      </c>
      <c r="E47" t="s">
        <v>9</v>
      </c>
    </row>
    <row r="48" spans="1:5" x14ac:dyDescent="0.3">
      <c r="A48" t="s">
        <v>11</v>
      </c>
      <c r="B48" t="s">
        <v>12</v>
      </c>
      <c r="C48" t="s">
        <v>65</v>
      </c>
      <c r="D48" t="s">
        <v>52</v>
      </c>
      <c r="E48" t="s">
        <v>14</v>
      </c>
    </row>
    <row r="49" spans="1:5" x14ac:dyDescent="0.3">
      <c r="A49" t="s">
        <v>11</v>
      </c>
      <c r="B49" t="s">
        <v>12</v>
      </c>
      <c r="C49" t="s">
        <v>58</v>
      </c>
      <c r="D49" t="s">
        <v>52</v>
      </c>
      <c r="E49" t="s">
        <v>30</v>
      </c>
    </row>
    <row r="50" spans="1:5" x14ac:dyDescent="0.3">
      <c r="A50" t="s">
        <v>11</v>
      </c>
      <c r="B50" t="s">
        <v>12</v>
      </c>
      <c r="C50" t="s">
        <v>55</v>
      </c>
      <c r="D50" t="s">
        <v>52</v>
      </c>
      <c r="E50" t="s">
        <v>30</v>
      </c>
    </row>
    <row r="51" spans="1:5" x14ac:dyDescent="0.3">
      <c r="A51" t="s">
        <v>5</v>
      </c>
      <c r="B51" t="s">
        <v>6</v>
      </c>
      <c r="C51" t="s">
        <v>105</v>
      </c>
      <c r="D51" t="s">
        <v>104</v>
      </c>
      <c r="E51" t="s">
        <v>106</v>
      </c>
    </row>
    <row r="52" spans="1:5" x14ac:dyDescent="0.3">
      <c r="A52" t="s">
        <v>11</v>
      </c>
      <c r="B52" t="s">
        <v>12</v>
      </c>
      <c r="C52" t="s">
        <v>60</v>
      </c>
      <c r="D52" t="s">
        <v>52</v>
      </c>
      <c r="E52" t="s">
        <v>20</v>
      </c>
    </row>
    <row r="53" spans="1:5" x14ac:dyDescent="0.3">
      <c r="A53" t="s">
        <v>11</v>
      </c>
      <c r="B53" t="s">
        <v>12</v>
      </c>
      <c r="C53" t="s">
        <v>61</v>
      </c>
      <c r="D53" t="s">
        <v>52</v>
      </c>
      <c r="E53" t="s">
        <v>30</v>
      </c>
    </row>
    <row r="54" spans="1:5" x14ac:dyDescent="0.3">
      <c r="A54" t="s">
        <v>5</v>
      </c>
      <c r="B54" t="s">
        <v>6</v>
      </c>
      <c r="C54" t="s">
        <v>57</v>
      </c>
      <c r="D54" t="s">
        <v>52</v>
      </c>
      <c r="E54" t="s">
        <v>30</v>
      </c>
    </row>
    <row r="55" spans="1:5" x14ac:dyDescent="0.3">
      <c r="A55" t="s">
        <v>11</v>
      </c>
      <c r="B55" t="s">
        <v>12</v>
      </c>
      <c r="C55" t="s">
        <v>127</v>
      </c>
      <c r="D55" t="s">
        <v>52</v>
      </c>
      <c r="E55" t="s">
        <v>20</v>
      </c>
    </row>
    <row r="56" spans="1:5" x14ac:dyDescent="0.3">
      <c r="A56" t="s">
        <v>11</v>
      </c>
      <c r="B56" t="s">
        <v>12</v>
      </c>
      <c r="C56" t="s">
        <v>53</v>
      </c>
      <c r="D56" t="s">
        <v>52</v>
      </c>
      <c r="E56" t="s">
        <v>20</v>
      </c>
    </row>
    <row r="57" spans="1:5" x14ac:dyDescent="0.3">
      <c r="A57" t="s">
        <v>5</v>
      </c>
      <c r="B57" t="s">
        <v>6</v>
      </c>
      <c r="C57" t="s">
        <v>64</v>
      </c>
      <c r="D57" t="s">
        <v>52</v>
      </c>
      <c r="E57" t="s">
        <v>30</v>
      </c>
    </row>
    <row r="58" spans="1:5" x14ac:dyDescent="0.3">
      <c r="A58" t="s">
        <v>11</v>
      </c>
      <c r="B58" t="s">
        <v>12</v>
      </c>
      <c r="C58" t="s">
        <v>54</v>
      </c>
      <c r="D58" t="s">
        <v>52</v>
      </c>
      <c r="E58" t="s">
        <v>20</v>
      </c>
    </row>
    <row r="59" spans="1:5" x14ac:dyDescent="0.3">
      <c r="A59" t="s">
        <v>11</v>
      </c>
      <c r="B59" t="s">
        <v>12</v>
      </c>
      <c r="C59" t="s">
        <v>103</v>
      </c>
      <c r="D59" t="s">
        <v>104</v>
      </c>
      <c r="E59" t="s">
        <v>30</v>
      </c>
    </row>
    <row r="60" spans="1:5" x14ac:dyDescent="0.3">
      <c r="A60" t="s">
        <v>11</v>
      </c>
      <c r="B60" t="s">
        <v>12</v>
      </c>
      <c r="C60" t="s">
        <v>63</v>
      </c>
      <c r="D60" t="s">
        <v>52</v>
      </c>
      <c r="E60" t="s">
        <v>20</v>
      </c>
    </row>
    <row r="61" spans="1:5" x14ac:dyDescent="0.3">
      <c r="A61" t="s">
        <v>11</v>
      </c>
      <c r="B61" t="s">
        <v>12</v>
      </c>
      <c r="C61" t="s">
        <v>82</v>
      </c>
      <c r="D61" t="s">
        <v>67</v>
      </c>
      <c r="E61" t="s">
        <v>30</v>
      </c>
    </row>
    <row r="62" spans="1:5" x14ac:dyDescent="0.3">
      <c r="A62" t="s">
        <v>11</v>
      </c>
      <c r="B62" t="s">
        <v>12</v>
      </c>
      <c r="C62" t="s">
        <v>78</v>
      </c>
      <c r="D62" t="s">
        <v>67</v>
      </c>
      <c r="E62" t="s">
        <v>20</v>
      </c>
    </row>
    <row r="63" spans="1:5" x14ac:dyDescent="0.3">
      <c r="A63" t="s">
        <v>11</v>
      </c>
      <c r="B63" t="s">
        <v>12</v>
      </c>
      <c r="C63" t="s">
        <v>107</v>
      </c>
      <c r="D63" t="s">
        <v>108</v>
      </c>
      <c r="E63" t="s">
        <v>30</v>
      </c>
    </row>
    <row r="64" spans="1:5" x14ac:dyDescent="0.3">
      <c r="A64" t="s">
        <v>11</v>
      </c>
      <c r="B64" t="s">
        <v>12</v>
      </c>
      <c r="C64" t="s">
        <v>74</v>
      </c>
      <c r="D64" t="s">
        <v>67</v>
      </c>
      <c r="E64" t="s">
        <v>30</v>
      </c>
    </row>
    <row r="65" spans="1:5" x14ac:dyDescent="0.3">
      <c r="A65" t="s">
        <v>11</v>
      </c>
      <c r="B65" t="s">
        <v>12</v>
      </c>
      <c r="C65" t="s">
        <v>116</v>
      </c>
      <c r="D65" t="s">
        <v>108</v>
      </c>
      <c r="E65" t="s">
        <v>20</v>
      </c>
    </row>
    <row r="66" spans="1:5" x14ac:dyDescent="0.3">
      <c r="A66" t="s">
        <v>11</v>
      </c>
      <c r="B66" t="s">
        <v>12</v>
      </c>
      <c r="C66" t="s">
        <v>83</v>
      </c>
      <c r="D66" t="s">
        <v>67</v>
      </c>
      <c r="E66" t="s">
        <v>84</v>
      </c>
    </row>
    <row r="67" spans="1:5" x14ac:dyDescent="0.3">
      <c r="A67" t="s">
        <v>11</v>
      </c>
      <c r="B67" t="s">
        <v>12</v>
      </c>
      <c r="C67" t="s">
        <v>71</v>
      </c>
      <c r="D67" t="s">
        <v>67</v>
      </c>
      <c r="E67" t="s">
        <v>20</v>
      </c>
    </row>
    <row r="68" spans="1:5" x14ac:dyDescent="0.3">
      <c r="A68" t="s">
        <v>11</v>
      </c>
      <c r="B68" t="s">
        <v>12</v>
      </c>
      <c r="C68" t="s">
        <v>66</v>
      </c>
      <c r="D68" t="s">
        <v>67</v>
      </c>
      <c r="E68" t="s">
        <v>30</v>
      </c>
    </row>
    <row r="69" spans="1:5" x14ac:dyDescent="0.3">
      <c r="A69" t="s">
        <v>11</v>
      </c>
      <c r="B69" t="s">
        <v>12</v>
      </c>
      <c r="C69" t="s">
        <v>81</v>
      </c>
      <c r="D69" t="s">
        <v>67</v>
      </c>
      <c r="E69" t="s">
        <v>30</v>
      </c>
    </row>
    <row r="70" spans="1:5" x14ac:dyDescent="0.3">
      <c r="A70" t="s">
        <v>11</v>
      </c>
      <c r="B70" t="s">
        <v>12</v>
      </c>
      <c r="C70" t="s">
        <v>75</v>
      </c>
      <c r="D70" t="s">
        <v>67</v>
      </c>
      <c r="E70" t="s">
        <v>20</v>
      </c>
    </row>
    <row r="71" spans="1:5" x14ac:dyDescent="0.3">
      <c r="A71" t="s">
        <v>11</v>
      </c>
      <c r="B71" t="s">
        <v>12</v>
      </c>
      <c r="C71" t="s">
        <v>72</v>
      </c>
      <c r="D71" t="s">
        <v>67</v>
      </c>
      <c r="E71" t="s">
        <v>20</v>
      </c>
    </row>
    <row r="72" spans="1:5" x14ac:dyDescent="0.3">
      <c r="A72" t="s">
        <v>11</v>
      </c>
      <c r="B72" t="s">
        <v>12</v>
      </c>
      <c r="C72" t="s">
        <v>7</v>
      </c>
      <c r="D72" t="s">
        <v>67</v>
      </c>
      <c r="E72" t="s">
        <v>9</v>
      </c>
    </row>
    <row r="73" spans="1:5" x14ac:dyDescent="0.3">
      <c r="A73" t="s">
        <v>11</v>
      </c>
      <c r="B73" t="s">
        <v>12</v>
      </c>
      <c r="C73" t="s">
        <v>76</v>
      </c>
      <c r="D73" t="s">
        <v>67</v>
      </c>
      <c r="E73" t="s">
        <v>20</v>
      </c>
    </row>
    <row r="74" spans="1:5" x14ac:dyDescent="0.3">
      <c r="A74" t="s">
        <v>5</v>
      </c>
      <c r="B74" t="s">
        <v>6</v>
      </c>
      <c r="C74" t="s">
        <v>80</v>
      </c>
      <c r="D74" t="s">
        <v>67</v>
      </c>
      <c r="E74" t="s">
        <v>20</v>
      </c>
    </row>
    <row r="75" spans="1:5" x14ac:dyDescent="0.3">
      <c r="A75" t="s">
        <v>11</v>
      </c>
      <c r="B75" t="s">
        <v>12</v>
      </c>
      <c r="C75" t="s">
        <v>70</v>
      </c>
      <c r="D75" t="s">
        <v>67</v>
      </c>
      <c r="E75" t="s">
        <v>20</v>
      </c>
    </row>
    <row r="76" spans="1:5" x14ac:dyDescent="0.3">
      <c r="A76" t="s">
        <v>11</v>
      </c>
      <c r="B76" t="s">
        <v>12</v>
      </c>
      <c r="C76" t="s">
        <v>77</v>
      </c>
      <c r="D76" t="s">
        <v>67</v>
      </c>
      <c r="E76" t="s">
        <v>30</v>
      </c>
    </row>
    <row r="77" spans="1:5" x14ac:dyDescent="0.3">
      <c r="A77" t="s">
        <v>11</v>
      </c>
      <c r="B77" t="s">
        <v>12</v>
      </c>
      <c r="C77" t="s">
        <v>73</v>
      </c>
      <c r="D77" t="s">
        <v>67</v>
      </c>
      <c r="E77" t="s">
        <v>30</v>
      </c>
    </row>
    <row r="78" spans="1:5" x14ac:dyDescent="0.3">
      <c r="A78" t="s">
        <v>11</v>
      </c>
      <c r="B78" t="s">
        <v>12</v>
      </c>
      <c r="C78" t="s">
        <v>68</v>
      </c>
      <c r="D78" t="s">
        <v>67</v>
      </c>
      <c r="E78" t="s">
        <v>20</v>
      </c>
    </row>
    <row r="79" spans="1:5" x14ac:dyDescent="0.3">
      <c r="A79" t="s">
        <v>11</v>
      </c>
      <c r="B79" t="s">
        <v>12</v>
      </c>
      <c r="C79" t="s">
        <v>69</v>
      </c>
      <c r="D79" t="s">
        <v>67</v>
      </c>
      <c r="E79" t="s">
        <v>20</v>
      </c>
    </row>
    <row r="80" spans="1:5" x14ac:dyDescent="0.3">
      <c r="A80" t="s">
        <v>11</v>
      </c>
      <c r="B80" t="s">
        <v>12</v>
      </c>
      <c r="C80" t="s">
        <v>79</v>
      </c>
      <c r="D80" t="s">
        <v>67</v>
      </c>
      <c r="E80" t="s">
        <v>30</v>
      </c>
    </row>
    <row r="81" spans="1:5" x14ac:dyDescent="0.3">
      <c r="A81" t="s">
        <v>11</v>
      </c>
      <c r="B81" t="s">
        <v>12</v>
      </c>
      <c r="C81" t="s">
        <v>91</v>
      </c>
      <c r="D81" t="s">
        <v>92</v>
      </c>
      <c r="E81" t="s">
        <v>20</v>
      </c>
    </row>
    <row r="82" spans="1:5" x14ac:dyDescent="0.3">
      <c r="A82" t="s">
        <v>11</v>
      </c>
      <c r="B82" t="s">
        <v>12</v>
      </c>
      <c r="C82" t="s">
        <v>98</v>
      </c>
      <c r="D82" t="s">
        <v>92</v>
      </c>
      <c r="E82" t="s">
        <v>20</v>
      </c>
    </row>
    <row r="83" spans="1:5" x14ac:dyDescent="0.3">
      <c r="A83" t="s">
        <v>11</v>
      </c>
      <c r="B83" t="s">
        <v>12</v>
      </c>
      <c r="C83" t="s">
        <v>95</v>
      </c>
      <c r="D83" t="s">
        <v>86</v>
      </c>
      <c r="E83" t="s">
        <v>20</v>
      </c>
    </row>
    <row r="84" spans="1:5" x14ac:dyDescent="0.3">
      <c r="A84" t="s">
        <v>11</v>
      </c>
      <c r="B84" t="s">
        <v>12</v>
      </c>
      <c r="C84" t="s">
        <v>99</v>
      </c>
      <c r="D84" t="s">
        <v>86</v>
      </c>
      <c r="E84" t="s">
        <v>14</v>
      </c>
    </row>
    <row r="85" spans="1:5" x14ac:dyDescent="0.3">
      <c r="A85" t="s">
        <v>11</v>
      </c>
      <c r="B85" t="s">
        <v>12</v>
      </c>
      <c r="C85" t="s">
        <v>94</v>
      </c>
      <c r="D85" t="s">
        <v>86</v>
      </c>
      <c r="E85" t="s">
        <v>20</v>
      </c>
    </row>
    <row r="86" spans="1:5" x14ac:dyDescent="0.3">
      <c r="A86" t="s">
        <v>11</v>
      </c>
      <c r="B86" t="s">
        <v>12</v>
      </c>
      <c r="C86" t="s">
        <v>93</v>
      </c>
      <c r="D86" t="s">
        <v>86</v>
      </c>
      <c r="E86" t="s">
        <v>20</v>
      </c>
    </row>
    <row r="87" spans="1:5" x14ac:dyDescent="0.3">
      <c r="A87" t="s">
        <v>11</v>
      </c>
      <c r="B87" t="s">
        <v>12</v>
      </c>
      <c r="C87" t="s">
        <v>85</v>
      </c>
      <c r="D87" t="s">
        <v>86</v>
      </c>
      <c r="E87" t="s">
        <v>20</v>
      </c>
    </row>
    <row r="88" spans="1:5" x14ac:dyDescent="0.3">
      <c r="A88" t="s">
        <v>11</v>
      </c>
      <c r="B88" t="s">
        <v>12</v>
      </c>
      <c r="C88" t="s">
        <v>87</v>
      </c>
      <c r="D88" t="s">
        <v>86</v>
      </c>
      <c r="E88" t="s">
        <v>14</v>
      </c>
    </row>
    <row r="89" spans="1:5" x14ac:dyDescent="0.3">
      <c r="A89" t="s">
        <v>11</v>
      </c>
      <c r="B89" t="s">
        <v>12</v>
      </c>
      <c r="C89" t="s">
        <v>96</v>
      </c>
      <c r="D89" t="s">
        <v>86</v>
      </c>
      <c r="E89" t="s">
        <v>97</v>
      </c>
    </row>
    <row r="90" spans="1:5" x14ac:dyDescent="0.3">
      <c r="A90" t="s">
        <v>11</v>
      </c>
      <c r="B90" t="s">
        <v>12</v>
      </c>
      <c r="C90" t="s">
        <v>122</v>
      </c>
      <c r="D90" t="s">
        <v>118</v>
      </c>
      <c r="E90" t="s">
        <v>113</v>
      </c>
    </row>
    <row r="91" spans="1:5" x14ac:dyDescent="0.3">
      <c r="A91" t="s">
        <v>11</v>
      </c>
      <c r="B91" t="s">
        <v>12</v>
      </c>
      <c r="C91" t="s">
        <v>102</v>
      </c>
      <c r="D91" t="s">
        <v>89</v>
      </c>
      <c r="E91" t="s">
        <v>30</v>
      </c>
    </row>
    <row r="92" spans="1:5" x14ac:dyDescent="0.3">
      <c r="A92" t="s">
        <v>11</v>
      </c>
      <c r="B92" t="s">
        <v>12</v>
      </c>
      <c r="C92" t="s">
        <v>100</v>
      </c>
      <c r="D92" t="s">
        <v>89</v>
      </c>
      <c r="E92" t="s">
        <v>20</v>
      </c>
    </row>
    <row r="93" spans="1:5" x14ac:dyDescent="0.3">
      <c r="A93" t="s">
        <v>5</v>
      </c>
      <c r="B93" t="s">
        <v>6</v>
      </c>
      <c r="C93" t="s">
        <v>123</v>
      </c>
      <c r="D93" t="s">
        <v>118</v>
      </c>
      <c r="E93" t="s">
        <v>113</v>
      </c>
    </row>
    <row r="94" spans="1:5" x14ac:dyDescent="0.3">
      <c r="A94" t="s">
        <v>11</v>
      </c>
      <c r="B94" t="s">
        <v>12</v>
      </c>
      <c r="C94" t="s">
        <v>117</v>
      </c>
      <c r="D94" t="s">
        <v>118</v>
      </c>
      <c r="E94" t="s">
        <v>113</v>
      </c>
    </row>
    <row r="95" spans="1:5" x14ac:dyDescent="0.3">
      <c r="A95" t="s">
        <v>11</v>
      </c>
      <c r="B95" t="s">
        <v>12</v>
      </c>
      <c r="C95" t="s">
        <v>88</v>
      </c>
      <c r="D95" t="s">
        <v>89</v>
      </c>
      <c r="E95" t="s">
        <v>20</v>
      </c>
    </row>
    <row r="96" spans="1:5" x14ac:dyDescent="0.3">
      <c r="A96" t="s">
        <v>11</v>
      </c>
      <c r="B96" t="s">
        <v>12</v>
      </c>
      <c r="C96" t="s">
        <v>88</v>
      </c>
      <c r="D96" t="s">
        <v>118</v>
      </c>
      <c r="E96" t="s">
        <v>20</v>
      </c>
    </row>
    <row r="97" spans="1:5" x14ac:dyDescent="0.3">
      <c r="A97" t="s">
        <v>5</v>
      </c>
      <c r="B97" t="s">
        <v>6</v>
      </c>
      <c r="C97" t="s">
        <v>119</v>
      </c>
      <c r="D97" t="s">
        <v>118</v>
      </c>
      <c r="E97" t="s">
        <v>14</v>
      </c>
    </row>
    <row r="98" spans="1:5" x14ac:dyDescent="0.3">
      <c r="A98" t="s">
        <v>11</v>
      </c>
      <c r="B98" t="s">
        <v>12</v>
      </c>
      <c r="C98" t="s">
        <v>101</v>
      </c>
      <c r="D98" t="s">
        <v>89</v>
      </c>
      <c r="E98" t="s">
        <v>20</v>
      </c>
    </row>
    <row r="99" spans="1:5" x14ac:dyDescent="0.3">
      <c r="A99" t="s">
        <v>11</v>
      </c>
      <c r="B99" t="s">
        <v>12</v>
      </c>
      <c r="C99" t="s">
        <v>101</v>
      </c>
      <c r="D99" t="s">
        <v>118</v>
      </c>
      <c r="E99" t="s">
        <v>20</v>
      </c>
    </row>
    <row r="100" spans="1:5" x14ac:dyDescent="0.3">
      <c r="A100" t="s">
        <v>11</v>
      </c>
      <c r="B100" t="s">
        <v>12</v>
      </c>
      <c r="C100" t="s">
        <v>90</v>
      </c>
      <c r="D100" t="s">
        <v>89</v>
      </c>
      <c r="E10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8"/>
  <sheetViews>
    <sheetView zoomScale="190" zoomScaleNormal="190" workbookViewId="0">
      <selection activeCell="G8" sqref="G7:G8"/>
    </sheetView>
  </sheetViews>
  <sheetFormatPr defaultRowHeight="14.4" x14ac:dyDescent="0.3"/>
  <sheetData>
    <row r="1" spans="1:12" x14ac:dyDescent="0.3">
      <c r="A1">
        <v>1</v>
      </c>
      <c r="E1">
        <v>2</v>
      </c>
    </row>
    <row r="2" spans="1:12" x14ac:dyDescent="0.3">
      <c r="A2">
        <v>2</v>
      </c>
      <c r="E2">
        <v>4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</row>
    <row r="3" spans="1:12" x14ac:dyDescent="0.3">
      <c r="A3">
        <v>3</v>
      </c>
      <c r="E3">
        <v>6</v>
      </c>
      <c r="G3">
        <v>1</v>
      </c>
      <c r="H3">
        <v>2</v>
      </c>
      <c r="I3">
        <v>3</v>
      </c>
      <c r="J3">
        <v>4</v>
      </c>
      <c r="K3">
        <v>5</v>
      </c>
      <c r="L3">
        <f>SUM(G3:K3)</f>
        <v>15</v>
      </c>
    </row>
    <row r="4" spans="1:12" x14ac:dyDescent="0.3">
      <c r="A4">
        <v>4</v>
      </c>
      <c r="E4">
        <v>8</v>
      </c>
      <c r="G4">
        <v>2</v>
      </c>
      <c r="H4">
        <v>4</v>
      </c>
      <c r="I4">
        <v>6</v>
      </c>
      <c r="J4">
        <v>8</v>
      </c>
      <c r="K4">
        <v>10</v>
      </c>
    </row>
    <row r="5" spans="1:12" x14ac:dyDescent="0.3">
      <c r="A5">
        <f>SUM(A1:A4,Sheet1!B2:D2,PI())</f>
        <v>13.191592653589794</v>
      </c>
      <c r="E5">
        <v>10</v>
      </c>
      <c r="G5">
        <v>3</v>
      </c>
      <c r="H5">
        <v>6</v>
      </c>
      <c r="I5">
        <v>9</v>
      </c>
      <c r="J5">
        <v>12</v>
      </c>
      <c r="K5">
        <v>15</v>
      </c>
    </row>
    <row r="6" spans="1:12" x14ac:dyDescent="0.3">
      <c r="C6">
        <f>PI()</f>
        <v>3.1415926535897931</v>
      </c>
      <c r="E6">
        <v>12</v>
      </c>
      <c r="G6">
        <v>4</v>
      </c>
      <c r="H6">
        <v>8</v>
      </c>
      <c r="I6">
        <v>12</v>
      </c>
      <c r="J6">
        <v>16</v>
      </c>
      <c r="K6">
        <v>20</v>
      </c>
    </row>
    <row r="7" spans="1:12" x14ac:dyDescent="0.3">
      <c r="E7">
        <v>14</v>
      </c>
      <c r="G7">
        <f>MAX(G3:G6)</f>
        <v>4</v>
      </c>
    </row>
    <row r="8" spans="1:12" x14ac:dyDescent="0.3">
      <c r="E8">
        <f>_xlfn.STDEV.S(E1:E7)</f>
        <v>4.3204937989385739</v>
      </c>
      <c r="G8">
        <f>COUNT(G3:G6)</f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SUYASH SAHU</cp:lastModifiedBy>
  <dcterms:created xsi:type="dcterms:W3CDTF">2016-03-31T07:45:15Z</dcterms:created>
  <dcterms:modified xsi:type="dcterms:W3CDTF">2026-03-30T05:47:33Z</dcterms:modified>
</cp:coreProperties>
</file>