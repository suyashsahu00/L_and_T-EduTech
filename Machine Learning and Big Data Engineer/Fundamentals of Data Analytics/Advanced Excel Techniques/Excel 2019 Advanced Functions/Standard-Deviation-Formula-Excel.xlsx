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yas\Downloads\CODING(1)\L&amp;T EduTech\Machine Learning and Big Data Engineer\Fundamentals of Data Analytics\Advanced Excel Techniques\Excel 2019 Advanced Functions\"/>
    </mc:Choice>
  </mc:AlternateContent>
  <xr:revisionPtr revIDLastSave="0" documentId="13_ncr:1_{275F7D29-4CCB-449F-953A-BBFC20A0C0DA}" xr6:coauthVersionLast="47" xr6:coauthVersionMax="47" xr10:uidLastSave="{00000000-0000-0000-0000-000000000000}"/>
  <bookViews>
    <workbookView xWindow="-108" yWindow="-108" windowWidth="23256" windowHeight="13176" firstSheet="2" activeTab="5" xr2:uid="{009DADAD-8628-4A95-8A8F-12F3EF46FB79}"/>
  </bookViews>
  <sheets>
    <sheet name="Overview" sheetId="6" r:id="rId1"/>
    <sheet name="Sample Standard Deviation" sheetId="10" r:id="rId2"/>
    <sheet name="Population Standard Deviation" sheetId="11" r:id="rId3"/>
    <sheet name="Sample Variance" sheetId="12" r:id="rId4"/>
    <sheet name="Population Variance" sheetId="13" r:id="rId5"/>
    <sheet name="Standard Deviation Error Bars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13" l="1"/>
  <c r="J17" i="13"/>
  <c r="J16" i="13"/>
  <c r="J18" i="12"/>
  <c r="J17" i="12"/>
  <c r="J16" i="12"/>
  <c r="J18" i="11"/>
  <c r="J17" i="11"/>
  <c r="J16" i="11"/>
  <c r="J18" i="10"/>
  <c r="J17" i="10"/>
  <c r="J16" i="10"/>
  <c r="F12" i="6"/>
  <c r="F11" i="6"/>
  <c r="F10" i="6"/>
  <c r="F7" i="6"/>
  <c r="F6" i="6"/>
  <c r="F5" i="6"/>
  <c r="C18" i="13"/>
  <c r="C17" i="13"/>
  <c r="C16" i="13"/>
  <c r="C18" i="12"/>
  <c r="C17" i="12"/>
  <c r="C16" i="12"/>
  <c r="C18" i="11"/>
  <c r="C17" i="11"/>
  <c r="C16" i="11"/>
  <c r="C16" i="10"/>
  <c r="C18" i="10"/>
  <c r="C17" i="10"/>
  <c r="D18" i="10"/>
  <c r="D18" i="13"/>
  <c r="D16" i="10"/>
  <c r="D16" i="12"/>
  <c r="G11" i="6"/>
  <c r="D16" i="13"/>
  <c r="G10" i="6"/>
  <c r="D17" i="11"/>
  <c r="D17" i="13"/>
  <c r="D17" i="12"/>
  <c r="D17" i="10"/>
  <c r="G6" i="6"/>
  <c r="D18" i="12"/>
  <c r="D18" i="11"/>
  <c r="G5" i="6"/>
  <c r="G7" i="6"/>
  <c r="D16" i="11"/>
  <c r="G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5B08D-29CA-4337-B60B-E43F167B7E91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<sst xmlns="http://schemas.openxmlformats.org/spreadsheetml/2006/main" count="198" uniqueCount="39">
  <si>
    <t>Megh</t>
  </si>
  <si>
    <t>Lily</t>
  </si>
  <si>
    <t>Elsa</t>
  </si>
  <si>
    <t>Jack</t>
  </si>
  <si>
    <t>Rose</t>
  </si>
  <si>
    <t>Ricky</t>
  </si>
  <si>
    <t>Emmy</t>
  </si>
  <si>
    <t>Bruce</t>
  </si>
  <si>
    <t>John</t>
  </si>
  <si>
    <t>Lory</t>
  </si>
  <si>
    <t>Name</t>
  </si>
  <si>
    <t>Score</t>
  </si>
  <si>
    <t>Calculating Sample Standard Deviation</t>
  </si>
  <si>
    <t>Using STDEV Function</t>
  </si>
  <si>
    <t>Using STDEV.S Function</t>
  </si>
  <si>
    <t>Using STDEVA Function</t>
  </si>
  <si>
    <t>Calculating Population Standard Deviation</t>
  </si>
  <si>
    <t>Using STDEVP Function</t>
  </si>
  <si>
    <t>Using STDEV.P Function</t>
  </si>
  <si>
    <t>Using STDEVPA Function</t>
  </si>
  <si>
    <t>Calculating Sample Variance</t>
  </si>
  <si>
    <t>Using VAR Function</t>
  </si>
  <si>
    <t>Using VAR.S Function</t>
  </si>
  <si>
    <t>Using VARA Function</t>
  </si>
  <si>
    <t>Calculating Population Variance</t>
  </si>
  <si>
    <t>Using VARP Function</t>
  </si>
  <si>
    <t>Using VAR.P Function</t>
  </si>
  <si>
    <t>Using VARPA Function</t>
  </si>
  <si>
    <t>Overview of Calculating Standard Deviation in Excel</t>
  </si>
  <si>
    <t>Calculating Sample Standard Deviation:</t>
  </si>
  <si>
    <t>Calculating Population Standard Deviation:</t>
  </si>
  <si>
    <t>Not Available</t>
  </si>
  <si>
    <t>Note: Only STDEVA Function Include Text and Logical Values into Calculation</t>
  </si>
  <si>
    <t>Note: Only STDEVPA Function Include Text and Logical Values into Calculation</t>
  </si>
  <si>
    <t>Note: Only VARA Function Include Text and Logical Values into Calculation</t>
  </si>
  <si>
    <t>Note: Only VARPA Function Include Text and Logical Values into Calculation</t>
  </si>
  <si>
    <t>Note: STDEVA and STDEVPA Functions Include Text and Logical Values into Calculation</t>
  </si>
  <si>
    <t>Inserting Standard Deviation Error Bars</t>
  </si>
  <si>
    <t>Practice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</si>
</sst>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0" fillId="0" borderId="2" xfId="0" applyBorder="1" applyAlignment="1">
      <alignment vertical="center"/>
    </xf>
    <xf numFmtId="0" fontId="7" fillId="0" borderId="0" xfId="2" applyFont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vertical="center"/>
    </xf>
    <xf numFmtId="0" fontId="4" fillId="0" borderId="1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0" fillId="0" borderId="2" xfId="0" applyBorder="1"/>
    <xf numFmtId="0" fontId="7" fillId="0" borderId="2" xfId="2" applyFont="1" applyBorder="1" applyAlignment="1">
      <alignment vertical="center"/>
    </xf>
  </cellXfs>
  <cellStyles count="3">
    <cellStyle name="Explanatory Text" xfId="2" builtinId="53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Standard Deviation Error Bars</a:t>
            </a:r>
          </a:p>
        </c:rich>
      </c:tx>
      <c:layout>
        <c:manualLayout>
          <c:xMode val="edge"/>
          <c:yMode val="edge"/>
          <c:x val="0.24249422030802301"/>
          <c:y val="2.4213075060532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047959914101651E-2"/>
          <c:y val="0.16985472154963679"/>
          <c:w val="0.91095204008589836"/>
          <c:h val="0.75670594141833969"/>
        </c:manualLayout>
      </c:layout>
      <c:lineChart>
        <c:grouping val="standard"/>
        <c:varyColors val="0"/>
        <c:ser>
          <c:idx val="0"/>
          <c:order val="0"/>
          <c:tx>
            <c:strRef>
              <c:f>'Standard Deviation Error Bars'!$C$4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'Standard Deviation Error Bars'!$B$5:$B$14</c:f>
              <c:strCache>
                <c:ptCount val="10"/>
                <c:pt idx="0">
                  <c:v>Emmy</c:v>
                </c:pt>
                <c:pt idx="1">
                  <c:v>Megh</c:v>
                </c:pt>
                <c:pt idx="2">
                  <c:v>Lily</c:v>
                </c:pt>
                <c:pt idx="3">
                  <c:v>Elsa</c:v>
                </c:pt>
                <c:pt idx="4">
                  <c:v>Jack</c:v>
                </c:pt>
                <c:pt idx="5">
                  <c:v>Rose</c:v>
                </c:pt>
                <c:pt idx="6">
                  <c:v>Ricky</c:v>
                </c:pt>
                <c:pt idx="7">
                  <c:v>Bruce</c:v>
                </c:pt>
                <c:pt idx="8">
                  <c:v>John</c:v>
                </c:pt>
                <c:pt idx="9">
                  <c:v>Lory</c:v>
                </c:pt>
              </c:strCache>
            </c:strRef>
          </c:cat>
          <c:val>
            <c:numRef>
              <c:f>'Standard Deviation Error Bars'!$C$5:$C$14</c:f>
              <c:numCache>
                <c:formatCode>General</c:formatCode>
                <c:ptCount val="10"/>
                <c:pt idx="0">
                  <c:v>95</c:v>
                </c:pt>
                <c:pt idx="1">
                  <c:v>86</c:v>
                </c:pt>
                <c:pt idx="2">
                  <c:v>85</c:v>
                </c:pt>
                <c:pt idx="3">
                  <c:v>89</c:v>
                </c:pt>
                <c:pt idx="4">
                  <c:v>78</c:v>
                </c:pt>
                <c:pt idx="5">
                  <c:v>69</c:v>
                </c:pt>
                <c:pt idx="6">
                  <c:v>76</c:v>
                </c:pt>
                <c:pt idx="7">
                  <c:v>79</c:v>
                </c:pt>
                <c:pt idx="8">
                  <c:v>86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8-4C21-845B-45FEBE65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970351"/>
        <c:axId val="1977969503"/>
      </c:lineChart>
      <c:catAx>
        <c:axId val="185597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69503"/>
        <c:crosses val="autoZero"/>
        <c:auto val="1"/>
        <c:lblAlgn val="ctr"/>
        <c:lblOffset val="100"/>
        <c:noMultiLvlLbl val="0"/>
      </c:catAx>
      <c:valAx>
        <c:axId val="1977969503"/>
        <c:scaling>
          <c:orientation val="minMax"/>
          <c:max val="96"/>
          <c:min val="6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 Deviation Error Bars'!$L$4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'Standard Deviation Error Bars'!$K$5:$K$14</c:f>
              <c:strCache>
                <c:ptCount val="10"/>
                <c:pt idx="0">
                  <c:v>Emmy</c:v>
                </c:pt>
                <c:pt idx="1">
                  <c:v>Megh</c:v>
                </c:pt>
                <c:pt idx="2">
                  <c:v>Lily</c:v>
                </c:pt>
                <c:pt idx="3">
                  <c:v>Elsa</c:v>
                </c:pt>
                <c:pt idx="4">
                  <c:v>Jack</c:v>
                </c:pt>
                <c:pt idx="5">
                  <c:v>Rose</c:v>
                </c:pt>
                <c:pt idx="6">
                  <c:v>Ricky</c:v>
                </c:pt>
                <c:pt idx="7">
                  <c:v>Bruce</c:v>
                </c:pt>
                <c:pt idx="8">
                  <c:v>John</c:v>
                </c:pt>
                <c:pt idx="9">
                  <c:v>Lory</c:v>
                </c:pt>
              </c:strCache>
            </c:strRef>
          </c:cat>
          <c:val>
            <c:numRef>
              <c:f>'Standard Deviation Error Bars'!$L$5:$L$14</c:f>
              <c:numCache>
                <c:formatCode>General</c:formatCode>
                <c:ptCount val="10"/>
                <c:pt idx="0">
                  <c:v>95</c:v>
                </c:pt>
                <c:pt idx="1">
                  <c:v>86</c:v>
                </c:pt>
                <c:pt idx="2">
                  <c:v>85</c:v>
                </c:pt>
                <c:pt idx="3">
                  <c:v>89</c:v>
                </c:pt>
                <c:pt idx="4">
                  <c:v>78</c:v>
                </c:pt>
                <c:pt idx="5">
                  <c:v>69</c:v>
                </c:pt>
                <c:pt idx="6">
                  <c:v>76</c:v>
                </c:pt>
                <c:pt idx="7">
                  <c:v>79</c:v>
                </c:pt>
                <c:pt idx="8">
                  <c:v>86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1-4136-89ED-FC2605D724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23441536"/>
        <c:axId val="1223442496"/>
      </c:lineChart>
      <c:catAx>
        <c:axId val="12234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42496"/>
        <c:crosses val="autoZero"/>
        <c:auto val="1"/>
        <c:lblAlgn val="ctr"/>
        <c:lblOffset val="100"/>
        <c:noMultiLvlLbl val="0"/>
      </c:catAx>
      <c:valAx>
        <c:axId val="122344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34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</xdr:colOff>
      <xdr:row>7</xdr:row>
      <xdr:rowOff>70485</xdr:rowOff>
    </xdr:from>
    <xdr:to>
      <xdr:col>7</xdr:col>
      <xdr:colOff>97155</xdr:colOff>
      <xdr:row>19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95E10-C6AB-D298-67BC-3F6A64372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472440</xdr:colOff>
      <xdr:row>14</xdr:row>
      <xdr:rowOff>83820</xdr:rowOff>
    </xdr:from>
    <xdr:to>
      <xdr:col>12</xdr:col>
      <xdr:colOff>99060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42FA8-A2A2-F6E8-D1D6-B4563E81A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268B-E798-4CEB-B04B-ABD0E04B1124}">
  <dimension ref="B2:K18"/>
  <sheetViews>
    <sheetView showGridLines="0" workbookViewId="0">
      <selection activeCell="G12" sqref="G12"/>
    </sheetView>
  </sheetViews>
  <sheetFormatPr defaultColWidth="8.88671875" defaultRowHeight="19.95" customHeight="1" x14ac:dyDescent="0.3"/>
  <cols>
    <col min="1" max="1" width="2.44140625" style="12" customWidth="1"/>
    <col min="2" max="2" width="10.33203125" style="12" customWidth="1"/>
    <col min="3" max="3" width="13.88671875" style="12" customWidth="1"/>
    <col min="4" max="4" width="3.44140625" style="12" customWidth="1"/>
    <col min="5" max="5" width="25.33203125" style="12" customWidth="1"/>
    <col min="6" max="6" width="9.88671875" style="12" customWidth="1"/>
    <col min="7" max="7" width="17.6640625" style="12" bestFit="1" customWidth="1"/>
    <col min="8" max="8" width="20.33203125" style="12" customWidth="1"/>
    <col min="9" max="9" width="24.6640625" style="12" customWidth="1"/>
    <col min="10" max="10" width="2.88671875" style="12" customWidth="1"/>
    <col min="11" max="11" width="17.44140625" style="12" customWidth="1"/>
    <col min="12" max="16384" width="8.88671875" style="12"/>
  </cols>
  <sheetData>
    <row r="2" spans="2:11" ht="19.95" customHeight="1" x14ac:dyDescent="0.3">
      <c r="B2" s="13" t="s">
        <v>28</v>
      </c>
      <c r="C2" s="13"/>
      <c r="D2" s="13"/>
      <c r="E2" s="13"/>
      <c r="F2" s="13"/>
      <c r="G2" s="13"/>
      <c r="H2" s="7"/>
      <c r="I2" s="7"/>
      <c r="J2" s="7"/>
      <c r="K2" s="7"/>
    </row>
    <row r="3" spans="2:11" ht="19.95" customHeight="1" x14ac:dyDescent="0.3">
      <c r="H3" s="7"/>
      <c r="I3" s="7"/>
      <c r="J3" s="7"/>
      <c r="K3" s="7"/>
    </row>
    <row r="4" spans="2:11" ht="19.95" customHeight="1" x14ac:dyDescent="0.3">
      <c r="B4" s="2" t="s">
        <v>10</v>
      </c>
      <c r="C4" s="2" t="s">
        <v>11</v>
      </c>
      <c r="E4" s="14" t="s">
        <v>29</v>
      </c>
      <c r="F4" s="14"/>
      <c r="G4" s="14"/>
      <c r="H4" s="7"/>
      <c r="I4" s="7"/>
      <c r="J4" s="7"/>
      <c r="K4" s="7"/>
    </row>
    <row r="5" spans="2:11" ht="19.95" customHeight="1" x14ac:dyDescent="0.3">
      <c r="B5" s="4" t="s">
        <v>6</v>
      </c>
      <c r="C5" s="5">
        <v>95</v>
      </c>
      <c r="E5" s="2" t="s">
        <v>13</v>
      </c>
      <c r="F5" s="9">
        <f>STDEV(C5:C14)</f>
        <v>8.1492769179672795</v>
      </c>
      <c r="G5" s="15" t="str">
        <f ca="1">_xlfn.FORMULATEXT(F5)</f>
        <v>=STDEV(C5:C14)</v>
      </c>
      <c r="H5" s="7"/>
      <c r="I5" s="7"/>
      <c r="J5" s="7"/>
      <c r="K5" s="7"/>
    </row>
    <row r="6" spans="2:11" ht="19.95" customHeight="1" x14ac:dyDescent="0.3">
      <c r="B6" s="4" t="s">
        <v>0</v>
      </c>
      <c r="C6" s="5">
        <v>86</v>
      </c>
      <c r="E6" s="2" t="s">
        <v>14</v>
      </c>
      <c r="F6" s="9">
        <f>_xlfn.STDEV.S(C5:C14)</f>
        <v>8.1492769179672795</v>
      </c>
      <c r="G6" s="15" t="str">
        <f t="shared" ref="G6:G7" ca="1" si="0">_xlfn.FORMULATEXT(F6)</f>
        <v>=STDEV.S(C5:C14)</v>
      </c>
      <c r="H6" s="7"/>
      <c r="I6" s="7"/>
      <c r="J6" s="7"/>
      <c r="K6" s="7"/>
    </row>
    <row r="7" spans="2:11" ht="19.95" customHeight="1" x14ac:dyDescent="0.3">
      <c r="B7" s="4" t="s">
        <v>1</v>
      </c>
      <c r="C7" s="4" t="s">
        <v>31</v>
      </c>
      <c r="E7" s="2" t="s">
        <v>15</v>
      </c>
      <c r="F7" s="9">
        <f>STDEVA(C5:C14)</f>
        <v>36.087701814083729</v>
      </c>
      <c r="G7" s="15" t="str">
        <f t="shared" ca="1" si="0"/>
        <v>=STDEVA(C5:C14)</v>
      </c>
      <c r="H7" s="7"/>
      <c r="I7" s="7"/>
      <c r="J7" s="7"/>
      <c r="K7" s="7"/>
    </row>
    <row r="8" spans="2:11" ht="19.95" customHeight="1" x14ac:dyDescent="0.3">
      <c r="B8" s="4" t="s">
        <v>2</v>
      </c>
      <c r="C8" s="5">
        <v>89</v>
      </c>
      <c r="H8" s="7"/>
      <c r="I8" s="7"/>
      <c r="J8" s="7"/>
      <c r="K8" s="7"/>
    </row>
    <row r="9" spans="2:11" ht="19.95" customHeight="1" x14ac:dyDescent="0.3">
      <c r="B9" s="4" t="s">
        <v>3</v>
      </c>
      <c r="C9" s="5">
        <v>78</v>
      </c>
      <c r="E9" s="14" t="s">
        <v>30</v>
      </c>
      <c r="F9" s="14"/>
      <c r="G9" s="14"/>
      <c r="H9" s="7"/>
      <c r="I9" s="7"/>
      <c r="J9" s="7"/>
      <c r="K9" s="7"/>
    </row>
    <row r="10" spans="2:11" ht="19.95" customHeight="1" x14ac:dyDescent="0.3">
      <c r="B10" s="4" t="s">
        <v>4</v>
      </c>
      <c r="C10" s="5">
        <v>69</v>
      </c>
      <c r="E10" s="2" t="s">
        <v>17</v>
      </c>
      <c r="F10" s="9">
        <f>STDEVP(C5:C14)</f>
        <v>7.622950544244663</v>
      </c>
      <c r="G10" s="15" t="str">
        <f ca="1">_xlfn.FORMULATEXT(F10)</f>
        <v>=STDEVP(C5:C14)</v>
      </c>
      <c r="H10" s="7"/>
      <c r="I10" s="7"/>
      <c r="J10" s="7"/>
      <c r="K10" s="7"/>
    </row>
    <row r="11" spans="2:11" ht="19.95" customHeight="1" x14ac:dyDescent="0.3">
      <c r="B11" s="4" t="s">
        <v>5</v>
      </c>
      <c r="C11" s="4" t="s">
        <v>31</v>
      </c>
      <c r="E11" s="2" t="s">
        <v>18</v>
      </c>
      <c r="F11" s="9">
        <f>_xlfn.STDEV.P(C5:C14)</f>
        <v>7.622950544244663</v>
      </c>
      <c r="G11" s="15" t="str">
        <f t="shared" ref="G11:G12" ca="1" si="1">_xlfn.FORMULATEXT(F11)</f>
        <v>=STDEV.P(C5:C14)</v>
      </c>
      <c r="H11" s="7"/>
      <c r="I11" s="7"/>
      <c r="J11" s="7"/>
      <c r="K11" s="7"/>
    </row>
    <row r="12" spans="2:11" ht="19.95" customHeight="1" x14ac:dyDescent="0.3">
      <c r="B12" s="4" t="s">
        <v>7</v>
      </c>
      <c r="C12" s="5">
        <v>79</v>
      </c>
      <c r="E12" s="2" t="s">
        <v>19</v>
      </c>
      <c r="F12" s="9">
        <f>STDEVPA(C5:C14)</f>
        <v>34.235799976048462</v>
      </c>
      <c r="G12" s="15" t="str">
        <f t="shared" ca="1" si="1"/>
        <v>=STDEVPA(C5:C14)</v>
      </c>
      <c r="H12" s="7"/>
      <c r="I12" s="7"/>
      <c r="J12" s="7"/>
      <c r="K12" s="7"/>
    </row>
    <row r="13" spans="2:11" ht="19.95" customHeight="1" x14ac:dyDescent="0.3">
      <c r="B13" s="4" t="s">
        <v>8</v>
      </c>
      <c r="C13" s="5">
        <v>86</v>
      </c>
      <c r="E13" s="16"/>
      <c r="F13" s="16"/>
      <c r="G13" s="15"/>
      <c r="H13" s="7"/>
      <c r="I13" s="7"/>
      <c r="J13" s="7"/>
      <c r="K13" s="7"/>
    </row>
    <row r="14" spans="2:11" ht="19.95" customHeight="1" x14ac:dyDescent="0.3">
      <c r="B14" s="4" t="s">
        <v>9</v>
      </c>
      <c r="C14" s="5">
        <v>89</v>
      </c>
      <c r="E14" s="16"/>
      <c r="F14" s="16"/>
      <c r="H14" s="7"/>
      <c r="I14" s="7"/>
      <c r="J14" s="7"/>
      <c r="K14" s="7"/>
    </row>
    <row r="15" spans="2:11" ht="19.95" customHeight="1" x14ac:dyDescent="0.3">
      <c r="B15" s="7"/>
      <c r="C15" s="7"/>
      <c r="H15" s="7"/>
      <c r="I15" s="7"/>
      <c r="J15" s="7"/>
      <c r="K15" s="7"/>
    </row>
    <row r="16" spans="2:11" ht="19.95" customHeight="1" x14ac:dyDescent="0.3">
      <c r="B16" s="17" t="s">
        <v>36</v>
      </c>
      <c r="C16" s="17"/>
      <c r="D16" s="17"/>
      <c r="H16" s="7"/>
      <c r="I16" s="7"/>
      <c r="J16" s="7"/>
      <c r="K16" s="7"/>
    </row>
    <row r="17" spans="2:11" ht="19.95" customHeight="1" x14ac:dyDescent="0.3">
      <c r="C17" s="7"/>
      <c r="H17" s="7"/>
      <c r="I17" s="7"/>
      <c r="J17" s="7"/>
      <c r="K17" s="7"/>
    </row>
    <row r="18" spans="2:11" ht="19.95" customHeight="1" x14ac:dyDescent="0.3">
      <c r="B18" s="7"/>
      <c r="C18" s="7"/>
      <c r="H18" s="7"/>
      <c r="I18" s="7"/>
      <c r="J18" s="7"/>
      <c r="K18" s="7"/>
    </row>
  </sheetData>
  <mergeCells count="3">
    <mergeCell ref="B2:G2"/>
    <mergeCell ref="E4:G4"/>
    <mergeCell ref="E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C031-F4CD-410D-9160-51E0F9686251}">
  <dimension ref="B2:K20"/>
  <sheetViews>
    <sheetView showGridLines="0" workbookViewId="0">
      <selection activeCell="J19" sqref="J19"/>
    </sheetView>
  </sheetViews>
  <sheetFormatPr defaultColWidth="8.88671875" defaultRowHeight="19.95" customHeight="1" x14ac:dyDescent="0.3"/>
  <cols>
    <col min="1" max="1" width="2.44140625" style="1" customWidth="1"/>
    <col min="2" max="2" width="24.109375" style="1" customWidth="1"/>
    <col min="3" max="3" width="21.109375" style="1" customWidth="1"/>
    <col min="4" max="4" width="16.44140625" style="1" bestFit="1" customWidth="1"/>
    <col min="5" max="5" width="17.6640625" style="1" customWidth="1"/>
    <col min="6" max="7" width="8.88671875" style="1"/>
    <col min="8" max="8" width="20.33203125" style="1" customWidth="1"/>
    <col min="9" max="9" width="24.33203125" style="1" bestFit="1" customWidth="1"/>
    <col min="10" max="10" width="13.109375" style="1" bestFit="1" customWidth="1"/>
    <col min="11" max="11" width="17.44140625" style="1" customWidth="1"/>
    <col min="12" max="16384" width="8.88671875" style="1"/>
  </cols>
  <sheetData>
    <row r="2" spans="2:11" ht="19.95" customHeight="1" thickBot="1" x14ac:dyDescent="0.35">
      <c r="B2" s="11" t="s">
        <v>12</v>
      </c>
      <c r="C2" s="11"/>
      <c r="D2" s="3"/>
      <c r="E2" s="3"/>
      <c r="H2" s="3"/>
      <c r="I2" s="11" t="s">
        <v>38</v>
      </c>
      <c r="J2" s="11"/>
      <c r="K2" s="3"/>
    </row>
    <row r="3" spans="2:11" ht="19.95" customHeight="1" thickTop="1" x14ac:dyDescent="0.3">
      <c r="H3" s="3"/>
      <c r="K3" s="3"/>
    </row>
    <row r="4" spans="2:11" ht="19.95" customHeight="1" x14ac:dyDescent="0.3">
      <c r="B4" s="2" t="s">
        <v>10</v>
      </c>
      <c r="C4" s="2" t="s">
        <v>11</v>
      </c>
      <c r="H4" s="3"/>
      <c r="I4" s="2" t="s">
        <v>10</v>
      </c>
      <c r="J4" s="2" t="s">
        <v>11</v>
      </c>
      <c r="K4" s="3"/>
    </row>
    <row r="5" spans="2:11" ht="19.95" customHeight="1" x14ac:dyDescent="0.3">
      <c r="B5" s="4" t="s">
        <v>6</v>
      </c>
      <c r="C5" s="5">
        <v>95</v>
      </c>
      <c r="H5" s="3"/>
      <c r="I5" s="4" t="s">
        <v>6</v>
      </c>
      <c r="J5" s="5">
        <v>95</v>
      </c>
      <c r="K5" s="3"/>
    </row>
    <row r="6" spans="2:11" ht="19.95" customHeight="1" x14ac:dyDescent="0.3">
      <c r="B6" s="4" t="s">
        <v>0</v>
      </c>
      <c r="C6" s="5">
        <v>86</v>
      </c>
      <c r="H6" s="3"/>
      <c r="I6" s="4" t="s">
        <v>0</v>
      </c>
      <c r="J6" s="5">
        <v>86</v>
      </c>
      <c r="K6" s="3"/>
    </row>
    <row r="7" spans="2:11" ht="19.95" customHeight="1" x14ac:dyDescent="0.3">
      <c r="B7" s="4" t="s">
        <v>1</v>
      </c>
      <c r="C7" s="4" t="s">
        <v>31</v>
      </c>
      <c r="H7" s="3"/>
      <c r="I7" s="4" t="s">
        <v>1</v>
      </c>
      <c r="J7" s="4" t="s">
        <v>31</v>
      </c>
      <c r="K7" s="3"/>
    </row>
    <row r="8" spans="2:11" ht="19.95" customHeight="1" x14ac:dyDescent="0.3">
      <c r="B8" s="4" t="s">
        <v>2</v>
      </c>
      <c r="C8" s="5">
        <v>89</v>
      </c>
      <c r="H8" s="3"/>
      <c r="I8" s="4" t="s">
        <v>2</v>
      </c>
      <c r="J8" s="5">
        <v>89</v>
      </c>
      <c r="K8" s="3"/>
    </row>
    <row r="9" spans="2:11" ht="19.95" customHeight="1" x14ac:dyDescent="0.3">
      <c r="B9" s="4" t="s">
        <v>3</v>
      </c>
      <c r="C9" s="5">
        <v>78</v>
      </c>
      <c r="H9" s="3"/>
      <c r="I9" s="4" t="s">
        <v>3</v>
      </c>
      <c r="J9" s="5">
        <v>78</v>
      </c>
      <c r="K9" s="3"/>
    </row>
    <row r="10" spans="2:11" ht="19.95" customHeight="1" x14ac:dyDescent="0.3">
      <c r="B10" s="4" t="s">
        <v>4</v>
      </c>
      <c r="C10" s="5">
        <v>69</v>
      </c>
      <c r="H10" s="3"/>
      <c r="I10" s="4" t="s">
        <v>4</v>
      </c>
      <c r="J10" s="5">
        <v>69</v>
      </c>
      <c r="K10" s="3"/>
    </row>
    <row r="11" spans="2:11" ht="19.95" customHeight="1" x14ac:dyDescent="0.3">
      <c r="B11" s="4" t="s">
        <v>5</v>
      </c>
      <c r="C11" s="4" t="s">
        <v>31</v>
      </c>
      <c r="H11" s="3"/>
      <c r="I11" s="4" t="s">
        <v>5</v>
      </c>
      <c r="J11" s="4" t="s">
        <v>31</v>
      </c>
      <c r="K11" s="3"/>
    </row>
    <row r="12" spans="2:11" ht="19.95" customHeight="1" x14ac:dyDescent="0.3">
      <c r="B12" s="4" t="s">
        <v>7</v>
      </c>
      <c r="C12" s="5">
        <v>79</v>
      </c>
      <c r="H12" s="3"/>
      <c r="I12" s="4" t="s">
        <v>7</v>
      </c>
      <c r="J12" s="5">
        <v>79</v>
      </c>
      <c r="K12" s="3"/>
    </row>
    <row r="13" spans="2:11" ht="19.95" customHeight="1" x14ac:dyDescent="0.3">
      <c r="B13" s="4" t="s">
        <v>8</v>
      </c>
      <c r="C13" s="5">
        <v>86</v>
      </c>
      <c r="H13" s="3"/>
      <c r="I13" s="4" t="s">
        <v>8</v>
      </c>
      <c r="J13" s="5">
        <v>86</v>
      </c>
      <c r="K13" s="3"/>
    </row>
    <row r="14" spans="2:11" ht="19.95" customHeight="1" x14ac:dyDescent="0.3">
      <c r="B14" s="4" t="s">
        <v>9</v>
      </c>
      <c r="C14" s="5">
        <v>89</v>
      </c>
      <c r="H14" s="3"/>
      <c r="I14" s="4" t="s">
        <v>9</v>
      </c>
      <c r="J14" s="5">
        <v>89</v>
      </c>
      <c r="K14" s="3"/>
    </row>
    <row r="15" spans="2:11" ht="19.95" customHeight="1" x14ac:dyDescent="0.3">
      <c r="B15" s="3"/>
      <c r="C15" s="3"/>
      <c r="H15" s="3"/>
      <c r="I15" s="3"/>
      <c r="J15" s="3"/>
      <c r="K15" s="3"/>
    </row>
    <row r="16" spans="2:11" ht="19.95" customHeight="1" x14ac:dyDescent="0.3">
      <c r="B16" s="2" t="s">
        <v>13</v>
      </c>
      <c r="C16" s="9">
        <f>STDEV(C5:C14)</f>
        <v>8.1492769179672795</v>
      </c>
      <c r="D16" s="6" t="str">
        <f ca="1">_xlfn.FORMULATEXT(C16)</f>
        <v>=STDEV(C5:C14)</v>
      </c>
      <c r="H16" s="3"/>
      <c r="I16" s="2" t="s">
        <v>13</v>
      </c>
      <c r="J16" s="9">
        <f>STDEV(J5:J14)</f>
        <v>8.1492769179672795</v>
      </c>
      <c r="K16" s="3"/>
    </row>
    <row r="17" spans="2:11" ht="19.95" customHeight="1" x14ac:dyDescent="0.3">
      <c r="B17" s="2" t="s">
        <v>14</v>
      </c>
      <c r="C17" s="10">
        <f>_xlfn.STDEV.S(C5:C14)</f>
        <v>8.1492769179672795</v>
      </c>
      <c r="D17" s="6" t="str">
        <f t="shared" ref="D17:D18" ca="1" si="0">_xlfn.FORMULATEXT(C17)</f>
        <v>=STDEV.S(C5:C14)</v>
      </c>
      <c r="H17" s="3"/>
      <c r="I17" s="2" t="s">
        <v>14</v>
      </c>
      <c r="J17" s="10">
        <f>_xlfn.STDEV.S(J5:J14)</f>
        <v>8.1492769179672795</v>
      </c>
      <c r="K17" s="3"/>
    </row>
    <row r="18" spans="2:11" ht="19.95" customHeight="1" x14ac:dyDescent="0.3">
      <c r="B18" s="2" t="s">
        <v>15</v>
      </c>
      <c r="C18" s="10">
        <f>STDEVA(C5:C14)</f>
        <v>36.087701814083729</v>
      </c>
      <c r="D18" s="6" t="str">
        <f t="shared" ca="1" si="0"/>
        <v>=STDEVA(C5:C14)</v>
      </c>
      <c r="H18" s="3"/>
      <c r="I18" s="2" t="s">
        <v>15</v>
      </c>
      <c r="J18" s="10">
        <f>STDEVA(J5:J14)</f>
        <v>36.087701814083729</v>
      </c>
      <c r="K18" s="3"/>
    </row>
    <row r="20" spans="2:11" ht="19.95" customHeight="1" x14ac:dyDescent="0.3">
      <c r="B20" s="8" t="s">
        <v>32</v>
      </c>
    </row>
  </sheetData>
  <mergeCells count="2">
    <mergeCell ref="B2:C2"/>
    <mergeCell ref="I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D33F-BA14-4306-A41D-E98CE7130D47}">
  <dimension ref="B2:K20"/>
  <sheetViews>
    <sheetView showGridLines="0" workbookViewId="0">
      <selection activeCell="J19" sqref="J19"/>
    </sheetView>
  </sheetViews>
  <sheetFormatPr defaultColWidth="8.88671875" defaultRowHeight="19.95" customHeight="1" x14ac:dyDescent="0.3"/>
  <cols>
    <col min="1" max="1" width="2.44140625" style="1" customWidth="1"/>
    <col min="2" max="2" width="25.109375" style="1" customWidth="1"/>
    <col min="3" max="3" width="21.5546875" style="1" customWidth="1"/>
    <col min="4" max="4" width="16.44140625" style="1" bestFit="1" customWidth="1"/>
    <col min="5" max="5" width="17.6640625" style="1" customWidth="1"/>
    <col min="6" max="7" width="8.88671875" style="1"/>
    <col min="8" max="8" width="20.33203125" style="1" customWidth="1"/>
    <col min="9" max="9" width="24.6640625" style="1" customWidth="1"/>
    <col min="10" max="10" width="14.109375" style="1" customWidth="1"/>
    <col min="11" max="11" width="17.44140625" style="1" customWidth="1"/>
    <col min="12" max="16384" width="8.88671875" style="1"/>
  </cols>
  <sheetData>
    <row r="2" spans="2:11" ht="19.95" customHeight="1" thickBot="1" x14ac:dyDescent="0.35">
      <c r="B2" s="11" t="s">
        <v>16</v>
      </c>
      <c r="C2" s="11"/>
      <c r="D2" s="3"/>
      <c r="E2" s="3"/>
      <c r="H2" s="3"/>
      <c r="I2" s="11" t="s">
        <v>38</v>
      </c>
      <c r="J2" s="11"/>
      <c r="K2" s="3"/>
    </row>
    <row r="3" spans="2:11" ht="19.95" customHeight="1" thickTop="1" x14ac:dyDescent="0.3">
      <c r="H3" s="3"/>
      <c r="K3" s="3"/>
    </row>
    <row r="4" spans="2:11" ht="19.95" customHeight="1" x14ac:dyDescent="0.3">
      <c r="B4" s="2" t="s">
        <v>10</v>
      </c>
      <c r="C4" s="2" t="s">
        <v>11</v>
      </c>
      <c r="H4" s="3"/>
      <c r="I4" s="2" t="s">
        <v>10</v>
      </c>
      <c r="J4" s="2" t="s">
        <v>11</v>
      </c>
      <c r="K4" s="3"/>
    </row>
    <row r="5" spans="2:11" ht="19.95" customHeight="1" x14ac:dyDescent="0.3">
      <c r="B5" s="4" t="s">
        <v>6</v>
      </c>
      <c r="C5" s="5">
        <v>95</v>
      </c>
      <c r="H5" s="3"/>
      <c r="I5" s="4" t="s">
        <v>6</v>
      </c>
      <c r="J5" s="5">
        <v>95</v>
      </c>
      <c r="K5" s="3"/>
    </row>
    <row r="6" spans="2:11" ht="19.95" customHeight="1" x14ac:dyDescent="0.3">
      <c r="B6" s="4" t="s">
        <v>0</v>
      </c>
      <c r="C6" s="5">
        <v>86</v>
      </c>
      <c r="H6" s="3"/>
      <c r="I6" s="4" t="s">
        <v>0</v>
      </c>
      <c r="J6" s="5">
        <v>86</v>
      </c>
      <c r="K6" s="3"/>
    </row>
    <row r="7" spans="2:11" ht="19.95" customHeight="1" x14ac:dyDescent="0.3">
      <c r="B7" s="4" t="s">
        <v>1</v>
      </c>
      <c r="C7" s="4" t="s">
        <v>31</v>
      </c>
      <c r="H7" s="3"/>
      <c r="I7" s="4" t="s">
        <v>1</v>
      </c>
      <c r="J7" s="4" t="s">
        <v>31</v>
      </c>
      <c r="K7" s="3"/>
    </row>
    <row r="8" spans="2:11" ht="19.95" customHeight="1" x14ac:dyDescent="0.3">
      <c r="B8" s="4" t="s">
        <v>2</v>
      </c>
      <c r="C8" s="5">
        <v>89</v>
      </c>
      <c r="H8" s="3"/>
      <c r="I8" s="4" t="s">
        <v>2</v>
      </c>
      <c r="J8" s="5">
        <v>89</v>
      </c>
      <c r="K8" s="3"/>
    </row>
    <row r="9" spans="2:11" ht="19.95" customHeight="1" x14ac:dyDescent="0.3">
      <c r="B9" s="4" t="s">
        <v>3</v>
      </c>
      <c r="C9" s="5">
        <v>78</v>
      </c>
      <c r="H9" s="3"/>
      <c r="I9" s="4" t="s">
        <v>3</v>
      </c>
      <c r="J9" s="5">
        <v>78</v>
      </c>
      <c r="K9" s="3"/>
    </row>
    <row r="10" spans="2:11" ht="19.95" customHeight="1" x14ac:dyDescent="0.3">
      <c r="B10" s="4" t="s">
        <v>4</v>
      </c>
      <c r="C10" s="5">
        <v>69</v>
      </c>
      <c r="H10" s="3"/>
      <c r="I10" s="4" t="s">
        <v>4</v>
      </c>
      <c r="J10" s="5">
        <v>69</v>
      </c>
      <c r="K10" s="3"/>
    </row>
    <row r="11" spans="2:11" ht="19.95" customHeight="1" x14ac:dyDescent="0.3">
      <c r="B11" s="4" t="s">
        <v>5</v>
      </c>
      <c r="C11" s="4" t="s">
        <v>31</v>
      </c>
      <c r="H11" s="3"/>
      <c r="I11" s="4" t="s">
        <v>5</v>
      </c>
      <c r="J11" s="4" t="s">
        <v>31</v>
      </c>
      <c r="K11" s="3"/>
    </row>
    <row r="12" spans="2:11" ht="19.95" customHeight="1" x14ac:dyDescent="0.3">
      <c r="B12" s="4" t="s">
        <v>7</v>
      </c>
      <c r="C12" s="5">
        <v>79</v>
      </c>
      <c r="H12" s="3"/>
      <c r="I12" s="4" t="s">
        <v>7</v>
      </c>
      <c r="J12" s="5">
        <v>79</v>
      </c>
      <c r="K12" s="3"/>
    </row>
    <row r="13" spans="2:11" ht="19.95" customHeight="1" x14ac:dyDescent="0.3">
      <c r="B13" s="4" t="s">
        <v>8</v>
      </c>
      <c r="C13" s="5">
        <v>86</v>
      </c>
      <c r="H13" s="3"/>
      <c r="I13" s="4" t="s">
        <v>8</v>
      </c>
      <c r="J13" s="5">
        <v>86</v>
      </c>
      <c r="K13" s="3"/>
    </row>
    <row r="14" spans="2:11" ht="19.95" customHeight="1" x14ac:dyDescent="0.3">
      <c r="B14" s="4" t="s">
        <v>9</v>
      </c>
      <c r="C14" s="5">
        <v>89</v>
      </c>
      <c r="H14" s="3"/>
      <c r="I14" s="4" t="s">
        <v>9</v>
      </c>
      <c r="J14" s="5">
        <v>89</v>
      </c>
      <c r="K14" s="3"/>
    </row>
    <row r="15" spans="2:11" ht="19.95" customHeight="1" x14ac:dyDescent="0.3">
      <c r="B15" s="3"/>
      <c r="C15" s="3"/>
      <c r="H15" s="3"/>
      <c r="I15" s="3"/>
      <c r="J15" s="3"/>
      <c r="K15" s="3"/>
    </row>
    <row r="16" spans="2:11" ht="19.95" customHeight="1" x14ac:dyDescent="0.3">
      <c r="B16" s="2" t="s">
        <v>17</v>
      </c>
      <c r="C16" s="9">
        <f>STDEVP(C5:C14)</f>
        <v>7.622950544244663</v>
      </c>
      <c r="D16" s="6" t="str">
        <f ca="1">_xlfn.FORMULATEXT(C16)</f>
        <v>=STDEVP(C5:C14)</v>
      </c>
      <c r="H16" s="3"/>
      <c r="I16" s="2" t="s">
        <v>17</v>
      </c>
      <c r="J16" s="9">
        <f>STDEVP((J5:J14))</f>
        <v>7.622950544244663</v>
      </c>
      <c r="K16" s="3"/>
    </row>
    <row r="17" spans="2:11" ht="19.95" customHeight="1" x14ac:dyDescent="0.3">
      <c r="B17" s="2" t="s">
        <v>18</v>
      </c>
      <c r="C17" s="10">
        <f>_xlfn.STDEV.P(C5:C14)</f>
        <v>7.622950544244663</v>
      </c>
      <c r="D17" s="6" t="str">
        <f ca="1">_xlfn.FORMULATEXT(C17)</f>
        <v>=STDEV.P(C5:C14)</v>
      </c>
      <c r="H17" s="3"/>
      <c r="I17" s="2" t="s">
        <v>18</v>
      </c>
      <c r="J17" s="10">
        <f>_xlfn.STDEV.P(J5:J14)</f>
        <v>7.622950544244663</v>
      </c>
      <c r="K17" s="3"/>
    </row>
    <row r="18" spans="2:11" ht="19.95" customHeight="1" x14ac:dyDescent="0.3">
      <c r="B18" s="2" t="s">
        <v>19</v>
      </c>
      <c r="C18" s="10">
        <f>STDEVPA(C5:C14)</f>
        <v>34.235799976048462</v>
      </c>
      <c r="D18" s="6" t="str">
        <f t="shared" ref="D18" ca="1" si="0">_xlfn.FORMULATEXT(C18)</f>
        <v>=STDEVPA(C5:C14)</v>
      </c>
      <c r="H18" s="3"/>
      <c r="I18" s="2" t="s">
        <v>19</v>
      </c>
      <c r="J18" s="10">
        <f>STDEVPA(J5:J14)</f>
        <v>34.235799976048462</v>
      </c>
      <c r="K18" s="3"/>
    </row>
    <row r="20" spans="2:11" ht="19.95" customHeight="1" x14ac:dyDescent="0.3">
      <c r="B20" s="8" t="s">
        <v>33</v>
      </c>
    </row>
  </sheetData>
  <mergeCells count="2">
    <mergeCell ref="B2:C2"/>
    <mergeCell ref="I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3C3E-527A-41B4-8B3B-381F1635BCC3}">
  <dimension ref="B2:K20"/>
  <sheetViews>
    <sheetView showGridLines="0" workbookViewId="0">
      <selection activeCell="J19" sqref="J19"/>
    </sheetView>
  </sheetViews>
  <sheetFormatPr defaultColWidth="8.88671875" defaultRowHeight="19.95" customHeight="1" x14ac:dyDescent="0.3"/>
  <cols>
    <col min="1" max="1" width="2.44140625" style="1" customWidth="1"/>
    <col min="2" max="2" width="22" style="1" customWidth="1"/>
    <col min="3" max="3" width="13.33203125" style="1" customWidth="1"/>
    <col min="4" max="4" width="16.44140625" style="1" bestFit="1" customWidth="1"/>
    <col min="5" max="5" width="17.6640625" style="1" customWidth="1"/>
    <col min="6" max="7" width="8.88671875" style="1"/>
    <col min="8" max="8" width="20.33203125" style="1" customWidth="1"/>
    <col min="9" max="9" width="24.6640625" style="1" customWidth="1"/>
    <col min="10" max="10" width="13.109375" style="1" bestFit="1" customWidth="1"/>
    <col min="11" max="11" width="17.44140625" style="1" customWidth="1"/>
    <col min="12" max="16384" width="8.88671875" style="1"/>
  </cols>
  <sheetData>
    <row r="2" spans="2:11" ht="19.95" customHeight="1" thickBot="1" x14ac:dyDescent="0.35">
      <c r="B2" s="11" t="s">
        <v>20</v>
      </c>
      <c r="C2" s="11"/>
      <c r="D2" s="3"/>
      <c r="E2" s="3"/>
      <c r="H2" s="3"/>
      <c r="I2" s="11" t="s">
        <v>38</v>
      </c>
      <c r="J2" s="11"/>
      <c r="K2" s="3"/>
    </row>
    <row r="3" spans="2:11" ht="19.95" customHeight="1" thickTop="1" x14ac:dyDescent="0.3">
      <c r="H3" s="3"/>
      <c r="K3" s="3"/>
    </row>
    <row r="4" spans="2:11" ht="19.95" customHeight="1" x14ac:dyDescent="0.3">
      <c r="B4" s="2" t="s">
        <v>10</v>
      </c>
      <c r="C4" s="2" t="s">
        <v>11</v>
      </c>
      <c r="H4" s="3"/>
      <c r="I4" s="2" t="s">
        <v>10</v>
      </c>
      <c r="J4" s="2" t="s">
        <v>11</v>
      </c>
      <c r="K4" s="3"/>
    </row>
    <row r="5" spans="2:11" ht="19.95" customHeight="1" x14ac:dyDescent="0.3">
      <c r="B5" s="4" t="s">
        <v>6</v>
      </c>
      <c r="C5" s="5">
        <v>95</v>
      </c>
      <c r="H5" s="3"/>
      <c r="I5" s="4" t="s">
        <v>6</v>
      </c>
      <c r="J5" s="5">
        <v>95</v>
      </c>
      <c r="K5" s="3"/>
    </row>
    <row r="6" spans="2:11" ht="19.95" customHeight="1" x14ac:dyDescent="0.3">
      <c r="B6" s="4" t="s">
        <v>0</v>
      </c>
      <c r="C6" s="5">
        <v>86</v>
      </c>
      <c r="H6" s="3"/>
      <c r="I6" s="4" t="s">
        <v>0</v>
      </c>
      <c r="J6" s="5">
        <v>86</v>
      </c>
      <c r="K6" s="3"/>
    </row>
    <row r="7" spans="2:11" ht="19.95" customHeight="1" x14ac:dyDescent="0.3">
      <c r="B7" s="4" t="s">
        <v>1</v>
      </c>
      <c r="C7" s="4" t="s">
        <v>31</v>
      </c>
      <c r="H7" s="3"/>
      <c r="I7" s="4" t="s">
        <v>1</v>
      </c>
      <c r="J7" s="4" t="s">
        <v>31</v>
      </c>
      <c r="K7" s="3"/>
    </row>
    <row r="8" spans="2:11" ht="19.95" customHeight="1" x14ac:dyDescent="0.3">
      <c r="B8" s="4" t="s">
        <v>2</v>
      </c>
      <c r="C8" s="5">
        <v>89</v>
      </c>
      <c r="H8" s="3"/>
      <c r="I8" s="4" t="s">
        <v>2</v>
      </c>
      <c r="J8" s="5">
        <v>89</v>
      </c>
      <c r="K8" s="3"/>
    </row>
    <row r="9" spans="2:11" ht="19.95" customHeight="1" x14ac:dyDescent="0.3">
      <c r="B9" s="4" t="s">
        <v>3</v>
      </c>
      <c r="C9" s="5">
        <v>78</v>
      </c>
      <c r="H9" s="3"/>
      <c r="I9" s="4" t="s">
        <v>3</v>
      </c>
      <c r="J9" s="5">
        <v>78</v>
      </c>
      <c r="K9" s="3"/>
    </row>
    <row r="10" spans="2:11" ht="19.95" customHeight="1" x14ac:dyDescent="0.3">
      <c r="B10" s="4" t="s">
        <v>4</v>
      </c>
      <c r="C10" s="5">
        <v>69</v>
      </c>
      <c r="H10" s="3"/>
      <c r="I10" s="4" t="s">
        <v>4</v>
      </c>
      <c r="J10" s="5">
        <v>69</v>
      </c>
      <c r="K10" s="3"/>
    </row>
    <row r="11" spans="2:11" ht="19.95" customHeight="1" x14ac:dyDescent="0.3">
      <c r="B11" s="4" t="s">
        <v>5</v>
      </c>
      <c r="C11" s="4" t="s">
        <v>31</v>
      </c>
      <c r="H11" s="3"/>
      <c r="I11" s="4" t="s">
        <v>5</v>
      </c>
      <c r="J11" s="4" t="s">
        <v>31</v>
      </c>
      <c r="K11" s="3"/>
    </row>
    <row r="12" spans="2:11" ht="19.95" customHeight="1" x14ac:dyDescent="0.3">
      <c r="B12" s="4" t="s">
        <v>7</v>
      </c>
      <c r="C12" s="5">
        <v>79</v>
      </c>
      <c r="H12" s="3"/>
      <c r="I12" s="4" t="s">
        <v>7</v>
      </c>
      <c r="J12" s="5">
        <v>79</v>
      </c>
      <c r="K12" s="3"/>
    </row>
    <row r="13" spans="2:11" ht="19.95" customHeight="1" x14ac:dyDescent="0.3">
      <c r="B13" s="4" t="s">
        <v>8</v>
      </c>
      <c r="C13" s="5">
        <v>86</v>
      </c>
      <c r="H13" s="3"/>
      <c r="I13" s="4" t="s">
        <v>8</v>
      </c>
      <c r="J13" s="5">
        <v>86</v>
      </c>
      <c r="K13" s="3"/>
    </row>
    <row r="14" spans="2:11" ht="19.95" customHeight="1" x14ac:dyDescent="0.3">
      <c r="B14" s="4" t="s">
        <v>9</v>
      </c>
      <c r="C14" s="5">
        <v>89</v>
      </c>
      <c r="H14" s="3"/>
      <c r="I14" s="4" t="s">
        <v>9</v>
      </c>
      <c r="J14" s="5">
        <v>89</v>
      </c>
      <c r="K14" s="3"/>
    </row>
    <row r="15" spans="2:11" ht="19.95" customHeight="1" x14ac:dyDescent="0.3">
      <c r="B15" s="3"/>
      <c r="C15" s="3"/>
      <c r="H15" s="3"/>
      <c r="I15" s="3"/>
      <c r="J15" s="3"/>
      <c r="K15" s="3"/>
    </row>
    <row r="16" spans="2:11" ht="19.95" customHeight="1" x14ac:dyDescent="0.3">
      <c r="B16" s="2" t="s">
        <v>21</v>
      </c>
      <c r="C16" s="9">
        <f>VAR(C5:C14)</f>
        <v>66.410714285714292</v>
      </c>
      <c r="D16" s="6" t="str">
        <f ca="1">_xlfn.FORMULATEXT(C16)</f>
        <v>=VAR(C5:C14)</v>
      </c>
      <c r="H16" s="3"/>
      <c r="I16" s="2" t="s">
        <v>21</v>
      </c>
      <c r="J16" s="9">
        <f>VAR(J5:J14)</f>
        <v>66.410714285714292</v>
      </c>
      <c r="K16" s="3"/>
    </row>
    <row r="17" spans="2:11" ht="19.95" customHeight="1" x14ac:dyDescent="0.3">
      <c r="B17" s="2" t="s">
        <v>22</v>
      </c>
      <c r="C17" s="10">
        <f>_xlfn.VAR.S(C5:C14)</f>
        <v>66.410714285714292</v>
      </c>
      <c r="D17" s="6" t="str">
        <f ca="1">_xlfn.FORMULATEXT(C17)</f>
        <v>=VAR.S(C5:C14)</v>
      </c>
      <c r="H17" s="3"/>
      <c r="I17" s="2" t="s">
        <v>22</v>
      </c>
      <c r="J17" s="10">
        <f>_xlfn.VAR.S(J5:J14)</f>
        <v>66.410714285714292</v>
      </c>
      <c r="K17" s="3"/>
    </row>
    <row r="18" spans="2:11" ht="19.95" customHeight="1" x14ac:dyDescent="0.3">
      <c r="B18" s="2" t="s">
        <v>23</v>
      </c>
      <c r="C18" s="10">
        <f>VARA(C5:C14)</f>
        <v>1302.3222222222223</v>
      </c>
      <c r="D18" s="6" t="str">
        <f t="shared" ref="D18" ca="1" si="0">_xlfn.FORMULATEXT(C18)</f>
        <v>=VARA(C5:C14)</v>
      </c>
      <c r="H18" s="3"/>
      <c r="I18" s="2" t="s">
        <v>23</v>
      </c>
      <c r="J18" s="10">
        <f>VARA(J5:J14)</f>
        <v>1302.3222222222223</v>
      </c>
      <c r="K18" s="3"/>
    </row>
    <row r="20" spans="2:11" ht="19.95" customHeight="1" x14ac:dyDescent="0.3">
      <c r="B20" s="8" t="s">
        <v>34</v>
      </c>
    </row>
  </sheetData>
  <mergeCells count="2">
    <mergeCell ref="B2:C2"/>
    <mergeCell ref="I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CB31-9E7A-4A36-953B-6AFB654DFCDD}">
  <dimension ref="B2:K20"/>
  <sheetViews>
    <sheetView showGridLines="0" workbookViewId="0">
      <selection activeCell="J19" sqref="J19"/>
    </sheetView>
  </sheetViews>
  <sheetFormatPr defaultColWidth="8.88671875" defaultRowHeight="19.95" customHeight="1" x14ac:dyDescent="0.3"/>
  <cols>
    <col min="1" max="1" width="2.44140625" style="1" customWidth="1"/>
    <col min="2" max="2" width="23.33203125" style="1" customWidth="1"/>
    <col min="3" max="3" width="13.33203125" style="1" customWidth="1"/>
    <col min="4" max="4" width="16.44140625" style="1" bestFit="1" customWidth="1"/>
    <col min="5" max="5" width="17.6640625" style="1" customWidth="1"/>
    <col min="6" max="7" width="8.88671875" style="1"/>
    <col min="8" max="8" width="20.33203125" style="1" customWidth="1"/>
    <col min="9" max="9" width="24.6640625" style="1" customWidth="1"/>
    <col min="10" max="10" width="13.109375" style="1" bestFit="1" customWidth="1"/>
    <col min="11" max="11" width="17.44140625" style="1" customWidth="1"/>
    <col min="12" max="16384" width="8.88671875" style="1"/>
  </cols>
  <sheetData>
    <row r="2" spans="2:11" ht="19.95" customHeight="1" thickBot="1" x14ac:dyDescent="0.35">
      <c r="B2" s="11" t="s">
        <v>24</v>
      </c>
      <c r="C2" s="11"/>
      <c r="D2" s="3"/>
      <c r="E2" s="3"/>
      <c r="H2" s="3"/>
      <c r="I2" s="11" t="s">
        <v>38</v>
      </c>
      <c r="J2" s="11"/>
      <c r="K2" s="3"/>
    </row>
    <row r="3" spans="2:11" ht="19.95" customHeight="1" thickTop="1" x14ac:dyDescent="0.3">
      <c r="H3" s="3"/>
      <c r="K3" s="3"/>
    </row>
    <row r="4" spans="2:11" ht="19.95" customHeight="1" x14ac:dyDescent="0.3">
      <c r="B4" s="2" t="s">
        <v>10</v>
      </c>
      <c r="C4" s="2" t="s">
        <v>11</v>
      </c>
      <c r="H4" s="3"/>
      <c r="I4" s="2" t="s">
        <v>10</v>
      </c>
      <c r="J4" s="2" t="s">
        <v>11</v>
      </c>
      <c r="K4" s="3"/>
    </row>
    <row r="5" spans="2:11" ht="19.95" customHeight="1" x14ac:dyDescent="0.3">
      <c r="B5" s="4" t="s">
        <v>6</v>
      </c>
      <c r="C5" s="5">
        <v>95</v>
      </c>
      <c r="H5" s="3"/>
      <c r="I5" s="4" t="s">
        <v>6</v>
      </c>
      <c r="J5" s="5">
        <v>95</v>
      </c>
      <c r="K5" s="3"/>
    </row>
    <row r="6" spans="2:11" ht="19.95" customHeight="1" x14ac:dyDescent="0.3">
      <c r="B6" s="4" t="s">
        <v>0</v>
      </c>
      <c r="C6" s="5">
        <v>86</v>
      </c>
      <c r="H6" s="3"/>
      <c r="I6" s="4" t="s">
        <v>0</v>
      </c>
      <c r="J6" s="5">
        <v>86</v>
      </c>
      <c r="K6" s="3"/>
    </row>
    <row r="7" spans="2:11" ht="19.95" customHeight="1" x14ac:dyDescent="0.3">
      <c r="B7" s="4" t="s">
        <v>1</v>
      </c>
      <c r="C7" s="4" t="s">
        <v>31</v>
      </c>
      <c r="H7" s="3"/>
      <c r="I7" s="4" t="s">
        <v>1</v>
      </c>
      <c r="J7" s="4" t="s">
        <v>31</v>
      </c>
      <c r="K7" s="3"/>
    </row>
    <row r="8" spans="2:11" ht="19.95" customHeight="1" x14ac:dyDescent="0.3">
      <c r="B8" s="4" t="s">
        <v>2</v>
      </c>
      <c r="C8" s="5">
        <v>89</v>
      </c>
      <c r="H8" s="3"/>
      <c r="I8" s="4" t="s">
        <v>2</v>
      </c>
      <c r="J8" s="5">
        <v>89</v>
      </c>
      <c r="K8" s="3"/>
    </row>
    <row r="9" spans="2:11" ht="19.95" customHeight="1" x14ac:dyDescent="0.3">
      <c r="B9" s="4" t="s">
        <v>3</v>
      </c>
      <c r="C9" s="5">
        <v>78</v>
      </c>
      <c r="H9" s="3"/>
      <c r="I9" s="4" t="s">
        <v>3</v>
      </c>
      <c r="J9" s="5">
        <v>78</v>
      </c>
      <c r="K9" s="3"/>
    </row>
    <row r="10" spans="2:11" ht="19.95" customHeight="1" x14ac:dyDescent="0.3">
      <c r="B10" s="4" t="s">
        <v>4</v>
      </c>
      <c r="C10" s="5">
        <v>69</v>
      </c>
      <c r="H10" s="3"/>
      <c r="I10" s="4" t="s">
        <v>4</v>
      </c>
      <c r="J10" s="5">
        <v>69</v>
      </c>
      <c r="K10" s="3"/>
    </row>
    <row r="11" spans="2:11" ht="19.95" customHeight="1" x14ac:dyDescent="0.3">
      <c r="B11" s="4" t="s">
        <v>5</v>
      </c>
      <c r="C11" s="4" t="s">
        <v>31</v>
      </c>
      <c r="H11" s="3"/>
      <c r="I11" s="4" t="s">
        <v>5</v>
      </c>
      <c r="J11" s="4" t="s">
        <v>31</v>
      </c>
      <c r="K11" s="3"/>
    </row>
    <row r="12" spans="2:11" ht="19.95" customHeight="1" x14ac:dyDescent="0.3">
      <c r="B12" s="4" t="s">
        <v>7</v>
      </c>
      <c r="C12" s="5">
        <v>79</v>
      </c>
      <c r="H12" s="3"/>
      <c r="I12" s="4" t="s">
        <v>7</v>
      </c>
      <c r="J12" s="5">
        <v>79</v>
      </c>
      <c r="K12" s="3"/>
    </row>
    <row r="13" spans="2:11" ht="19.95" customHeight="1" x14ac:dyDescent="0.3">
      <c r="B13" s="4" t="s">
        <v>8</v>
      </c>
      <c r="C13" s="5">
        <v>86</v>
      </c>
      <c r="H13" s="3"/>
      <c r="I13" s="4" t="s">
        <v>8</v>
      </c>
      <c r="J13" s="5">
        <v>86</v>
      </c>
      <c r="K13" s="3"/>
    </row>
    <row r="14" spans="2:11" ht="19.95" customHeight="1" x14ac:dyDescent="0.3">
      <c r="B14" s="4" t="s">
        <v>9</v>
      </c>
      <c r="C14" s="5">
        <v>89</v>
      </c>
      <c r="H14" s="3"/>
      <c r="I14" s="4" t="s">
        <v>9</v>
      </c>
      <c r="J14" s="5">
        <v>89</v>
      </c>
      <c r="K14" s="3"/>
    </row>
    <row r="15" spans="2:11" ht="19.95" customHeight="1" x14ac:dyDescent="0.3">
      <c r="B15" s="3"/>
      <c r="C15" s="3"/>
      <c r="H15" s="3"/>
      <c r="I15" s="3"/>
      <c r="J15" s="3"/>
      <c r="K15" s="3"/>
    </row>
    <row r="16" spans="2:11" ht="19.95" customHeight="1" x14ac:dyDescent="0.3">
      <c r="B16" s="2" t="s">
        <v>25</v>
      </c>
      <c r="C16" s="9">
        <f>VARP(C5:C14)</f>
        <v>58.109375</v>
      </c>
      <c r="D16" s="6" t="str">
        <f ca="1">_xlfn.FORMULATEXT(C16)</f>
        <v>=VARP(C5:C14)</v>
      </c>
      <c r="H16" s="3"/>
      <c r="I16" s="2" t="s">
        <v>25</v>
      </c>
      <c r="J16" s="9">
        <f>VARP(J5:J14)</f>
        <v>58.109375</v>
      </c>
      <c r="K16" s="3"/>
    </row>
    <row r="17" spans="2:11" ht="19.95" customHeight="1" x14ac:dyDescent="0.3">
      <c r="B17" s="2" t="s">
        <v>26</v>
      </c>
      <c r="C17" s="10">
        <f>_xlfn.VAR.P(C5:C14)</f>
        <v>58.109375</v>
      </c>
      <c r="D17" s="6" t="str">
        <f ca="1">_xlfn.FORMULATEXT(C17)</f>
        <v>=VAR.P(C5:C14)</v>
      </c>
      <c r="H17" s="3"/>
      <c r="I17" s="2" t="s">
        <v>26</v>
      </c>
      <c r="J17" s="10">
        <f>_xlfn.VAR.P(J5:J14)</f>
        <v>58.109375</v>
      </c>
      <c r="K17" s="3"/>
    </row>
    <row r="18" spans="2:11" ht="19.95" customHeight="1" x14ac:dyDescent="0.3">
      <c r="B18" s="2" t="s">
        <v>27</v>
      </c>
      <c r="C18" s="10">
        <f>VARPA(C5:C14)</f>
        <v>1172.0899999999999</v>
      </c>
      <c r="D18" s="6" t="str">
        <f t="shared" ref="D18" ca="1" si="0">_xlfn.FORMULATEXT(C18)</f>
        <v>=VARPA(C5:C14)</v>
      </c>
      <c r="H18" s="3"/>
      <c r="I18" s="2" t="s">
        <v>27</v>
      </c>
      <c r="J18" s="10">
        <f>VARPA(J5:J14)</f>
        <v>1172.0899999999999</v>
      </c>
      <c r="K18" s="3"/>
    </row>
    <row r="20" spans="2:11" ht="19.95" customHeight="1" x14ac:dyDescent="0.3">
      <c r="B20" s="8" t="s">
        <v>35</v>
      </c>
    </row>
  </sheetData>
  <mergeCells count="2">
    <mergeCell ref="B2:C2"/>
    <mergeCell ref="I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293B-97D9-4CF8-B9F2-D1E68806FF76}">
  <dimension ref="B2:L20"/>
  <sheetViews>
    <sheetView showGridLines="0" tabSelected="1" workbookViewId="0">
      <selection activeCell="I7" sqref="I7"/>
    </sheetView>
  </sheetViews>
  <sheetFormatPr defaultColWidth="8.88671875" defaultRowHeight="19.95" customHeight="1" x14ac:dyDescent="0.3"/>
  <cols>
    <col min="1" max="1" width="2.44140625" style="1" customWidth="1"/>
    <col min="2" max="2" width="24.109375" style="1" customWidth="1"/>
    <col min="3" max="3" width="21.109375" style="1" customWidth="1"/>
    <col min="4" max="4" width="16.44140625" style="1" bestFit="1" customWidth="1"/>
    <col min="5" max="5" width="17.6640625" style="1" customWidth="1"/>
    <col min="6" max="7" width="8.88671875" style="1"/>
    <col min="8" max="8" width="20.33203125" style="1" customWidth="1"/>
    <col min="9" max="9" width="24.6640625" style="1" customWidth="1"/>
    <col min="10" max="10" width="2.88671875" style="1" customWidth="1"/>
    <col min="11" max="11" width="17.44140625" style="1" customWidth="1"/>
    <col min="12" max="12" width="11.44140625" style="1" customWidth="1"/>
    <col min="13" max="16384" width="8.88671875" style="1"/>
  </cols>
  <sheetData>
    <row r="2" spans="2:12" ht="19.95" customHeight="1" thickBot="1" x14ac:dyDescent="0.35">
      <c r="B2" s="11" t="s">
        <v>37</v>
      </c>
      <c r="C2" s="11"/>
      <c r="D2" s="3"/>
      <c r="E2" s="3"/>
      <c r="H2" s="3"/>
      <c r="I2" s="3"/>
      <c r="J2" s="3"/>
      <c r="K2" s="11" t="s">
        <v>38</v>
      </c>
      <c r="L2" s="11"/>
    </row>
    <row r="3" spans="2:12" ht="19.95" customHeight="1" thickTop="1" x14ac:dyDescent="0.3">
      <c r="H3" s="3"/>
      <c r="I3" s="3"/>
      <c r="J3" s="3"/>
    </row>
    <row r="4" spans="2:12" ht="19.95" customHeight="1" x14ac:dyDescent="0.3">
      <c r="B4" s="2" t="s">
        <v>10</v>
      </c>
      <c r="C4" s="2" t="s">
        <v>11</v>
      </c>
      <c r="H4" s="3"/>
      <c r="I4" s="3"/>
      <c r="J4" s="3"/>
      <c r="K4" s="2" t="s">
        <v>10</v>
      </c>
      <c r="L4" s="2" t="s">
        <v>11</v>
      </c>
    </row>
    <row r="5" spans="2:12" ht="19.95" customHeight="1" x14ac:dyDescent="0.3">
      <c r="B5" s="4" t="s">
        <v>6</v>
      </c>
      <c r="C5" s="7">
        <v>95</v>
      </c>
      <c r="H5" s="3"/>
      <c r="I5" s="3"/>
      <c r="J5" s="3"/>
      <c r="K5" s="4" t="s">
        <v>6</v>
      </c>
      <c r="L5" s="7">
        <v>95</v>
      </c>
    </row>
    <row r="6" spans="2:12" ht="19.95" customHeight="1" x14ac:dyDescent="0.3">
      <c r="B6" s="4" t="s">
        <v>0</v>
      </c>
      <c r="C6" s="7">
        <v>86</v>
      </c>
      <c r="H6" s="3"/>
      <c r="I6" s="3"/>
      <c r="J6" s="3"/>
      <c r="K6" s="4" t="s">
        <v>0</v>
      </c>
      <c r="L6" s="7">
        <v>86</v>
      </c>
    </row>
    <row r="7" spans="2:12" ht="19.95" customHeight="1" x14ac:dyDescent="0.3">
      <c r="B7" s="4" t="s">
        <v>1</v>
      </c>
      <c r="C7" s="7">
        <v>85</v>
      </c>
      <c r="H7" s="3"/>
      <c r="I7" s="3"/>
      <c r="J7" s="3"/>
      <c r="K7" s="4" t="s">
        <v>1</v>
      </c>
      <c r="L7" s="7">
        <v>85</v>
      </c>
    </row>
    <row r="8" spans="2:12" ht="19.95" customHeight="1" x14ac:dyDescent="0.3">
      <c r="B8" s="4" t="s">
        <v>2</v>
      </c>
      <c r="C8" s="7">
        <v>89</v>
      </c>
      <c r="H8" s="3"/>
      <c r="I8" s="3"/>
      <c r="J8" s="3"/>
      <c r="K8" s="4" t="s">
        <v>2</v>
      </c>
      <c r="L8" s="7">
        <v>89</v>
      </c>
    </row>
    <row r="9" spans="2:12" ht="19.95" customHeight="1" x14ac:dyDescent="0.3">
      <c r="B9" s="4" t="s">
        <v>3</v>
      </c>
      <c r="C9" s="7">
        <v>78</v>
      </c>
      <c r="H9" s="3"/>
      <c r="I9" s="3"/>
      <c r="J9" s="3"/>
      <c r="K9" s="4" t="s">
        <v>3</v>
      </c>
      <c r="L9" s="7">
        <v>78</v>
      </c>
    </row>
    <row r="10" spans="2:12" ht="19.95" customHeight="1" x14ac:dyDescent="0.3">
      <c r="B10" s="4" t="s">
        <v>4</v>
      </c>
      <c r="C10" s="7">
        <v>69</v>
      </c>
      <c r="H10" s="3"/>
      <c r="I10" s="3"/>
      <c r="J10" s="3"/>
      <c r="K10" s="4" t="s">
        <v>4</v>
      </c>
      <c r="L10" s="7">
        <v>69</v>
      </c>
    </row>
    <row r="11" spans="2:12" ht="19.95" customHeight="1" x14ac:dyDescent="0.3">
      <c r="B11" s="4" t="s">
        <v>5</v>
      </c>
      <c r="C11" s="7">
        <v>76</v>
      </c>
      <c r="H11" s="3"/>
      <c r="I11" s="3"/>
      <c r="J11" s="3"/>
      <c r="K11" s="4" t="s">
        <v>5</v>
      </c>
      <c r="L11" s="7">
        <v>76</v>
      </c>
    </row>
    <row r="12" spans="2:12" ht="19.95" customHeight="1" x14ac:dyDescent="0.3">
      <c r="B12" s="4" t="s">
        <v>7</v>
      </c>
      <c r="C12" s="7">
        <v>79</v>
      </c>
      <c r="H12" s="3"/>
      <c r="I12" s="3"/>
      <c r="J12" s="3"/>
      <c r="K12" s="4" t="s">
        <v>7</v>
      </c>
      <c r="L12" s="7">
        <v>79</v>
      </c>
    </row>
    <row r="13" spans="2:12" ht="19.95" customHeight="1" x14ac:dyDescent="0.3">
      <c r="B13" s="4" t="s">
        <v>8</v>
      </c>
      <c r="C13" s="7">
        <v>86</v>
      </c>
      <c r="H13" s="3"/>
      <c r="I13" s="3"/>
      <c r="J13" s="3"/>
      <c r="K13" s="4" t="s">
        <v>8</v>
      </c>
      <c r="L13" s="7">
        <v>86</v>
      </c>
    </row>
    <row r="14" spans="2:12" ht="19.95" customHeight="1" x14ac:dyDescent="0.3">
      <c r="B14" s="4" t="s">
        <v>9</v>
      </c>
      <c r="C14" s="7">
        <v>89</v>
      </c>
      <c r="H14" s="3"/>
      <c r="I14" s="3"/>
      <c r="J14" s="3"/>
      <c r="K14" s="4" t="s">
        <v>9</v>
      </c>
      <c r="L14" s="7">
        <v>89</v>
      </c>
    </row>
    <row r="15" spans="2:12" ht="19.95" customHeight="1" x14ac:dyDescent="0.3">
      <c r="B15" s="3"/>
      <c r="C15" s="3"/>
      <c r="H15" s="3"/>
      <c r="I15" s="3"/>
      <c r="J15" s="3"/>
      <c r="K15" s="3"/>
      <c r="L15" s="3"/>
    </row>
    <row r="16" spans="2:12" ht="19.95" customHeight="1" x14ac:dyDescent="0.3">
      <c r="B16"/>
      <c r="C16"/>
      <c r="D16"/>
      <c r="H16" s="3"/>
      <c r="I16" s="3"/>
      <c r="J16" s="3"/>
      <c r="K16"/>
      <c r="L16"/>
    </row>
    <row r="17" spans="2:12" ht="19.95" customHeight="1" x14ac:dyDescent="0.3">
      <c r="B17"/>
      <c r="C17"/>
      <c r="D17"/>
      <c r="H17" s="3"/>
      <c r="I17" s="3"/>
      <c r="J17" s="3"/>
      <c r="K17"/>
      <c r="L17"/>
    </row>
    <row r="18" spans="2:12" ht="19.95" customHeight="1" x14ac:dyDescent="0.3">
      <c r="B18"/>
      <c r="C18"/>
      <c r="D18"/>
      <c r="H18" s="3"/>
      <c r="I18" s="3"/>
      <c r="J18" s="3"/>
      <c r="K18"/>
      <c r="L18"/>
    </row>
    <row r="19" spans="2:12" ht="19.95" customHeight="1" x14ac:dyDescent="0.3">
      <c r="B19"/>
      <c r="C19"/>
      <c r="D19"/>
    </row>
    <row r="20" spans="2:12" ht="19.95" customHeight="1" x14ac:dyDescent="0.3">
      <c r="B20"/>
      <c r="C20"/>
      <c r="D20"/>
    </row>
  </sheetData>
  <mergeCells count="2">
    <mergeCell ref="B2:C2"/>
    <mergeCell ref="K2:L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9368831FEDF45ACA6235EA9CB994F" ma:contentTypeVersion="11" ma:contentTypeDescription="Create a new document." ma:contentTypeScope="" ma:versionID="1594f9dabb9e46eaa2a17b8335f0508f">
  <xsd:schema xmlns:xsd="http://www.w3.org/2001/XMLSchema" xmlns:xs="http://www.w3.org/2001/XMLSchema" xmlns:p="http://schemas.microsoft.com/office/2006/metadata/properties" xmlns:ns3="0ef13f3f-246a-4454-9902-bcfe285ee560" xmlns:ns4="0103a77b-11c8-4bd2-b04b-c9316e4ab0e3" targetNamespace="http://schemas.microsoft.com/office/2006/metadata/properties" ma:root="true" ma:fieldsID="9395aaadb1072297bfec317b982daa45" ns3:_="" ns4:_="">
    <xsd:import namespace="0ef13f3f-246a-4454-9902-bcfe285ee560"/>
    <xsd:import namespace="0103a77b-11c8-4bd2-b04b-c9316e4ab0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13f3f-246a-4454-9902-bcfe285ee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3a77b-11c8-4bd2-b04b-c9316e4ab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f13f3f-246a-4454-9902-bcfe285ee56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A3936E-ED78-42CD-A94F-AB83FF2A9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f13f3f-246a-4454-9902-bcfe285ee560"/>
    <ds:schemaRef ds:uri="0103a77b-11c8-4bd2-b04b-c9316e4ab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83212A-B609-483D-9569-63F8ACCB032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4C11F34-CE25-4369-8D99-A8A43C0A3971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0103a77b-11c8-4bd2-b04b-c9316e4ab0e3"/>
    <ds:schemaRef ds:uri="http://purl.org/dc/terms/"/>
    <ds:schemaRef ds:uri="http://schemas.microsoft.com/office/infopath/2007/PartnerControls"/>
    <ds:schemaRef ds:uri="http://purl.org/dc/dcmitype/"/>
    <ds:schemaRef ds:uri="0ef13f3f-246a-4454-9902-bcfe285ee560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ABEDCF1-3EC7-4E60-9CC8-C9019BF0E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Sample Standard Deviation</vt:lpstr>
      <vt:lpstr>Population Standard Deviation</vt:lpstr>
      <vt:lpstr>Sample Variance</vt:lpstr>
      <vt:lpstr>Population Variance</vt:lpstr>
      <vt:lpstr>Standard Deviation Error 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Musiha Mahfuza Mukta</dc:creator>
  <cp:lastModifiedBy>SUYASH SAHU</cp:lastModifiedBy>
  <dcterms:created xsi:type="dcterms:W3CDTF">2022-08-23T07:32:40Z</dcterms:created>
  <dcterms:modified xsi:type="dcterms:W3CDTF">2026-04-11T07:31:01Z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0x010100EF19368831FEDF45ACA6235EA9CB994F</vt:lpwstr>
  </property>
</Properties>
</file>